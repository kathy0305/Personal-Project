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/>
  <mc:AlternateContent xmlns:mc="http://schemas.openxmlformats.org/markup-compatibility/2006">
    <mc:Choice Requires="x15">
      <x15ac:absPath xmlns:x15ac="http://schemas.microsoft.com/office/spreadsheetml/2010/11/ac" url="C:\Users\Kawther\Desktop\DataScientist\Products\"/>
    </mc:Choice>
  </mc:AlternateContent>
  <bookViews>
    <workbookView xWindow="360" yWindow="252" windowWidth="9180" windowHeight="4056" activeTab="3"/>
  </bookViews>
  <sheets>
    <sheet name="Cover" sheetId="6" r:id="rId1"/>
    <sheet name="Summary" sheetId="1" r:id="rId2"/>
    <sheet name="Attendance" sheetId="8" r:id="rId3"/>
    <sheet name="Sheet1" sheetId="9" r:id="rId4"/>
    <sheet name="Revenues" sheetId="7" r:id="rId5"/>
    <sheet name="ProfitLoss" sheetId="4" r:id="rId6"/>
  </sheets>
  <definedNames>
    <definedName name="\c">#REF!</definedName>
    <definedName name="\d">#REF!</definedName>
    <definedName name="\e">#REF!</definedName>
    <definedName name="\s">#REF!</definedName>
    <definedName name="\t">#REF!</definedName>
    <definedName name="\w">#REF!</definedName>
    <definedName name="_2400">#N/A</definedName>
    <definedName name="_3300">#N/A</definedName>
    <definedName name="_xlnm._FilterDatabase" localSheetId="1" hidden="1">Summary!$D$58:$AA$95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AL">#REF!</definedName>
    <definedName name="FIELD">#REF!</definedName>
    <definedName name="FINAL">#REF!</definedName>
    <definedName name="GENEXP">#N/A</definedName>
    <definedName name="GTEXP">#N/A</definedName>
    <definedName name="HOSP">#N/A</definedName>
    <definedName name="LASTPG">#REF!</definedName>
    <definedName name="OCO">#REF!</definedName>
    <definedName name="OPS">#REF!</definedName>
    <definedName name="_xlnm.Print_Area" localSheetId="1">Summary!$D$1:$AA$284</definedName>
    <definedName name="Print_Area_MI">#REF!</definedName>
    <definedName name="_xlnm.Print_Titles" localSheetId="1">Summary!$A:$D,Summary!$1:$4</definedName>
    <definedName name="RECAP">#REF!</definedName>
    <definedName name="RESALE">#REF!</definedName>
    <definedName name="SALARY">#REF!</definedName>
    <definedName name="SALINC">#N/A</definedName>
    <definedName name="TOTEXP">#REF!</definedName>
    <definedName name="TOTREV">#REF!</definedName>
    <definedName name="WS">#REF!</definedName>
  </definedNames>
  <calcPr calcId="171027"/>
</workbook>
</file>

<file path=xl/calcChain.xml><?xml version="1.0" encoding="utf-8"?>
<calcChain xmlns="http://schemas.openxmlformats.org/spreadsheetml/2006/main">
  <c r="B72" i="9" l="1"/>
  <c r="B61" i="9"/>
  <c r="B10" i="7" l="1"/>
  <c r="E18" i="7"/>
  <c r="E27" i="8"/>
  <c r="E38" i="8"/>
  <c r="K6" i="1"/>
  <c r="O6" i="1"/>
  <c r="S6" i="1"/>
  <c r="W6" i="1"/>
  <c r="Z6" i="1" s="1"/>
  <c r="K7" i="1"/>
  <c r="O7" i="1"/>
  <c r="S7" i="1"/>
  <c r="W7" i="1"/>
  <c r="Z7" i="1" s="1"/>
  <c r="K8" i="1"/>
  <c r="O8" i="1"/>
  <c r="S8" i="1"/>
  <c r="W8" i="1"/>
  <c r="Z8" i="1"/>
  <c r="K9" i="1"/>
  <c r="O9" i="1"/>
  <c r="S9" i="1"/>
  <c r="W9" i="1"/>
  <c r="Z9" i="1" s="1"/>
  <c r="K10" i="1"/>
  <c r="O10" i="1"/>
  <c r="S10" i="1"/>
  <c r="W10" i="1"/>
  <c r="Z10" i="1" s="1"/>
  <c r="K11" i="1"/>
  <c r="O11" i="1"/>
  <c r="S11" i="1"/>
  <c r="W11" i="1"/>
  <c r="Z11" i="1" s="1"/>
  <c r="K12" i="1"/>
  <c r="O12" i="1"/>
  <c r="S12" i="1"/>
  <c r="W12" i="1"/>
  <c r="Z12" i="1" s="1"/>
  <c r="K13" i="1"/>
  <c r="O13" i="1"/>
  <c r="S13" i="1"/>
  <c r="W13" i="1"/>
  <c r="Z13" i="1"/>
  <c r="K14" i="1"/>
  <c r="O14" i="1"/>
  <c r="S14" i="1"/>
  <c r="W14" i="1"/>
  <c r="Z14" i="1" s="1"/>
  <c r="K15" i="1"/>
  <c r="O15" i="1"/>
  <c r="S15" i="1"/>
  <c r="W15" i="1"/>
  <c r="Z15" i="1" s="1"/>
  <c r="K16" i="1"/>
  <c r="O16" i="1"/>
  <c r="S16" i="1"/>
  <c r="W16" i="1"/>
  <c r="Z16" i="1"/>
  <c r="K17" i="1"/>
  <c r="O17" i="1"/>
  <c r="S17" i="1"/>
  <c r="W17" i="1"/>
  <c r="Z17" i="1" s="1"/>
  <c r="K18" i="1"/>
  <c r="O18" i="1"/>
  <c r="S18" i="1"/>
  <c r="W18" i="1"/>
  <c r="Z18" i="1" s="1"/>
  <c r="K19" i="1"/>
  <c r="O19" i="1"/>
  <c r="S19" i="1"/>
  <c r="W19" i="1"/>
  <c r="Z19" i="1" s="1"/>
  <c r="K20" i="1"/>
  <c r="O20" i="1"/>
  <c r="S20" i="1"/>
  <c r="W20" i="1"/>
  <c r="Z20" i="1" s="1"/>
  <c r="K21" i="1"/>
  <c r="O21" i="1"/>
  <c r="S21" i="1"/>
  <c r="W21" i="1"/>
  <c r="Z21" i="1"/>
  <c r="K23" i="1"/>
  <c r="O23" i="1"/>
  <c r="S23" i="1"/>
  <c r="W23" i="1"/>
  <c r="Z23" i="1" s="1"/>
  <c r="K24" i="1"/>
  <c r="O24" i="1"/>
  <c r="S24" i="1"/>
  <c r="W24" i="1"/>
  <c r="Z24" i="1" s="1"/>
  <c r="K25" i="1"/>
  <c r="O25" i="1"/>
  <c r="S25" i="1"/>
  <c r="W25" i="1"/>
  <c r="Z25" i="1"/>
  <c r="K26" i="1"/>
  <c r="O26" i="1"/>
  <c r="S26" i="1"/>
  <c r="W26" i="1"/>
  <c r="Z26" i="1" s="1"/>
  <c r="K27" i="1"/>
  <c r="O27" i="1"/>
  <c r="S27" i="1"/>
  <c r="W27" i="1"/>
  <c r="Z27" i="1" s="1"/>
  <c r="K28" i="1"/>
  <c r="O28" i="1"/>
  <c r="S28" i="1"/>
  <c r="W28" i="1"/>
  <c r="Z28" i="1" s="1"/>
  <c r="K29" i="1"/>
  <c r="O29" i="1"/>
  <c r="S29" i="1"/>
  <c r="W29" i="1"/>
  <c r="Z29" i="1" s="1"/>
  <c r="K30" i="1"/>
  <c r="O30" i="1"/>
  <c r="S30" i="1"/>
  <c r="W30" i="1"/>
  <c r="Z30" i="1"/>
  <c r="K31" i="1"/>
  <c r="O31" i="1"/>
  <c r="S31" i="1"/>
  <c r="W31" i="1"/>
  <c r="Z31" i="1" s="1"/>
  <c r="K32" i="1"/>
  <c r="O32" i="1"/>
  <c r="S32" i="1"/>
  <c r="W32" i="1"/>
  <c r="Z32" i="1" s="1"/>
  <c r="K33" i="1"/>
  <c r="O33" i="1"/>
  <c r="S33" i="1"/>
  <c r="W33" i="1"/>
  <c r="Z33" i="1"/>
  <c r="K34" i="1"/>
  <c r="O34" i="1"/>
  <c r="S34" i="1"/>
  <c r="W34" i="1"/>
  <c r="Z34" i="1" s="1"/>
  <c r="K35" i="1"/>
  <c r="O35" i="1"/>
  <c r="S35" i="1"/>
  <c r="W35" i="1"/>
  <c r="Z35" i="1" s="1"/>
  <c r="K36" i="1"/>
  <c r="O36" i="1"/>
  <c r="S36" i="1"/>
  <c r="W36" i="1"/>
  <c r="Z36" i="1" s="1"/>
  <c r="K37" i="1"/>
  <c r="K38" i="1" s="1"/>
  <c r="O37" i="1"/>
  <c r="R37" i="1"/>
  <c r="S37" i="1" s="1"/>
  <c r="W37" i="1"/>
  <c r="Z37" i="1" s="1"/>
  <c r="K39" i="1"/>
  <c r="O39" i="1"/>
  <c r="S39" i="1"/>
  <c r="W39" i="1"/>
  <c r="Z39" i="1" s="1"/>
  <c r="K40" i="1"/>
  <c r="O40" i="1"/>
  <c r="S40" i="1"/>
  <c r="W40" i="1"/>
  <c r="Z40" i="1"/>
  <c r="K41" i="1"/>
  <c r="O41" i="1"/>
  <c r="S41" i="1"/>
  <c r="W41" i="1"/>
  <c r="Z41" i="1" s="1"/>
  <c r="K42" i="1"/>
  <c r="O42" i="1"/>
  <c r="S42" i="1"/>
  <c r="W42" i="1"/>
  <c r="Z42" i="1" s="1"/>
  <c r="K43" i="1"/>
  <c r="O43" i="1"/>
  <c r="S43" i="1"/>
  <c r="W43" i="1"/>
  <c r="Z43" i="1" s="1"/>
  <c r="K45" i="1"/>
  <c r="O45" i="1"/>
  <c r="S45" i="1"/>
  <c r="W45" i="1"/>
  <c r="Z45" i="1"/>
  <c r="K46" i="1"/>
  <c r="O46" i="1"/>
  <c r="S46" i="1"/>
  <c r="W46" i="1"/>
  <c r="Z46" i="1" s="1"/>
  <c r="K47" i="1"/>
  <c r="O47" i="1"/>
  <c r="S47" i="1"/>
  <c r="W47" i="1"/>
  <c r="Z47" i="1" s="1"/>
  <c r="K48" i="1"/>
  <c r="O48" i="1"/>
  <c r="S48" i="1"/>
  <c r="W48" i="1"/>
  <c r="Z48" i="1" s="1"/>
  <c r="K49" i="1"/>
  <c r="O49" i="1"/>
  <c r="S49" i="1"/>
  <c r="W49" i="1"/>
  <c r="Z49" i="1"/>
  <c r="K50" i="1"/>
  <c r="O50" i="1"/>
  <c r="S50" i="1"/>
  <c r="W50" i="1"/>
  <c r="Z50" i="1" s="1"/>
  <c r="K51" i="1"/>
  <c r="O51" i="1"/>
  <c r="S51" i="1"/>
  <c r="W51" i="1"/>
  <c r="Z51" i="1" s="1"/>
  <c r="K52" i="1"/>
  <c r="O52" i="1"/>
  <c r="S52" i="1"/>
  <c r="W52" i="1"/>
  <c r="Z52" i="1" s="1"/>
  <c r="E53" i="1"/>
  <c r="G53" i="1"/>
  <c r="I53" i="1"/>
  <c r="J53" i="1"/>
  <c r="M53" i="1"/>
  <c r="N53" i="1"/>
  <c r="Q53" i="1"/>
  <c r="R53" i="1"/>
  <c r="S53" i="1"/>
  <c r="U53" i="1"/>
  <c r="Y53" i="1"/>
  <c r="AA53" i="1"/>
  <c r="K54" i="1"/>
  <c r="O54" i="1"/>
  <c r="S54" i="1"/>
  <c r="W54" i="1"/>
  <c r="K55" i="1"/>
  <c r="O55" i="1"/>
  <c r="S55" i="1"/>
  <c r="W55" i="1"/>
  <c r="K56" i="1"/>
  <c r="O56" i="1"/>
  <c r="S56" i="1"/>
  <c r="W56" i="1"/>
  <c r="Z56" i="1"/>
  <c r="K57" i="1"/>
  <c r="O57" i="1"/>
  <c r="S57" i="1"/>
  <c r="W57" i="1"/>
  <c r="V58" i="1"/>
  <c r="O63" i="1"/>
  <c r="S63" i="1"/>
  <c r="W63" i="1"/>
  <c r="K64" i="1"/>
  <c r="O64" i="1"/>
  <c r="S64" i="1"/>
  <c r="W64" i="1"/>
  <c r="Z64" i="1" s="1"/>
  <c r="K65" i="1"/>
  <c r="O65" i="1"/>
  <c r="S65" i="1"/>
  <c r="W65" i="1"/>
  <c r="Z65" i="1" s="1"/>
  <c r="K66" i="1"/>
  <c r="O66" i="1"/>
  <c r="S66" i="1"/>
  <c r="W66" i="1"/>
  <c r="Z66" i="1" s="1"/>
  <c r="K67" i="1"/>
  <c r="O67" i="1"/>
  <c r="S67" i="1"/>
  <c r="W67" i="1"/>
  <c r="Z67" i="1"/>
  <c r="K68" i="1"/>
  <c r="O68" i="1"/>
  <c r="S68" i="1"/>
  <c r="W68" i="1"/>
  <c r="Z68" i="1" s="1"/>
  <c r="K69" i="1"/>
  <c r="O69" i="1"/>
  <c r="S69" i="1"/>
  <c r="W69" i="1"/>
  <c r="Z69" i="1" s="1"/>
  <c r="K70" i="1"/>
  <c r="O70" i="1"/>
  <c r="S70" i="1"/>
  <c r="W70" i="1"/>
  <c r="Z70" i="1" s="1"/>
  <c r="K71" i="1"/>
  <c r="O71" i="1"/>
  <c r="S71" i="1"/>
  <c r="W71" i="1"/>
  <c r="Z71" i="1"/>
  <c r="K72" i="1"/>
  <c r="O72" i="1"/>
  <c r="S72" i="1"/>
  <c r="W72" i="1"/>
  <c r="Z72" i="1" s="1"/>
  <c r="K73" i="1"/>
  <c r="O73" i="1"/>
  <c r="S73" i="1"/>
  <c r="W73" i="1"/>
  <c r="Z73" i="1" s="1"/>
  <c r="K74" i="1"/>
  <c r="O74" i="1"/>
  <c r="S74" i="1"/>
  <c r="W74" i="1"/>
  <c r="Z74" i="1" s="1"/>
  <c r="K75" i="1"/>
  <c r="O75" i="1"/>
  <c r="S75" i="1"/>
  <c r="W75" i="1"/>
  <c r="Z75" i="1"/>
  <c r="K76" i="1"/>
  <c r="O76" i="1"/>
  <c r="S76" i="1"/>
  <c r="W76" i="1"/>
  <c r="Z76" i="1" s="1"/>
  <c r="K77" i="1"/>
  <c r="O77" i="1"/>
  <c r="S77" i="1"/>
  <c r="W77" i="1"/>
  <c r="Z77" i="1" s="1"/>
  <c r="K78" i="1"/>
  <c r="O78" i="1"/>
  <c r="S78" i="1"/>
  <c r="W78" i="1"/>
  <c r="Z78" i="1" s="1"/>
  <c r="K79" i="1"/>
  <c r="O79" i="1"/>
  <c r="S79" i="1"/>
  <c r="W79" i="1"/>
  <c r="Z79" i="1"/>
  <c r="K80" i="1"/>
  <c r="O80" i="1"/>
  <c r="S80" i="1"/>
  <c r="W80" i="1"/>
  <c r="Z80" i="1" s="1"/>
  <c r="K81" i="1"/>
  <c r="O81" i="1"/>
  <c r="S81" i="1"/>
  <c r="W81" i="1"/>
  <c r="Z81" i="1" s="1"/>
  <c r="K82" i="1"/>
  <c r="O82" i="1"/>
  <c r="S82" i="1"/>
  <c r="W82" i="1"/>
  <c r="Z82" i="1" s="1"/>
  <c r="K83" i="1"/>
  <c r="O83" i="1"/>
  <c r="S83" i="1"/>
  <c r="W83" i="1"/>
  <c r="Z83" i="1"/>
  <c r="K84" i="1"/>
  <c r="O84" i="1"/>
  <c r="S84" i="1"/>
  <c r="W84" i="1"/>
  <c r="Z84" i="1"/>
  <c r="K85" i="1"/>
  <c r="O85" i="1"/>
  <c r="S85" i="1"/>
  <c r="W85" i="1"/>
  <c r="Z85" i="1" s="1"/>
  <c r="K86" i="1"/>
  <c r="O86" i="1"/>
  <c r="S86" i="1"/>
  <c r="W86" i="1"/>
  <c r="Z86" i="1" s="1"/>
  <c r="K87" i="1"/>
  <c r="O87" i="1"/>
  <c r="S87" i="1"/>
  <c r="W87" i="1"/>
  <c r="Z87" i="1"/>
  <c r="K88" i="1"/>
  <c r="O88" i="1"/>
  <c r="S88" i="1"/>
  <c r="W88" i="1"/>
  <c r="Z88" i="1" s="1"/>
  <c r="K89" i="1"/>
  <c r="O89" i="1"/>
  <c r="S89" i="1"/>
  <c r="W89" i="1"/>
  <c r="O90" i="1"/>
  <c r="S90" i="1"/>
  <c r="W90" i="1"/>
  <c r="K91" i="1"/>
  <c r="O91" i="1"/>
  <c r="S91" i="1"/>
  <c r="W91" i="1"/>
  <c r="Z91" i="1" s="1"/>
  <c r="K92" i="1"/>
  <c r="K95" i="1" s="1"/>
  <c r="O92" i="1"/>
  <c r="S92" i="1"/>
  <c r="W92" i="1"/>
  <c r="Z92" i="1"/>
  <c r="K93" i="1"/>
  <c r="O93" i="1"/>
  <c r="S93" i="1"/>
  <c r="W93" i="1"/>
  <c r="Z93" i="1" s="1"/>
  <c r="K94" i="1"/>
  <c r="O94" i="1"/>
  <c r="S94" i="1"/>
  <c r="W94" i="1"/>
  <c r="E95" i="1"/>
  <c r="E260" i="1"/>
  <c r="G95" i="1"/>
  <c r="I95" i="1"/>
  <c r="I112" i="1" s="1"/>
  <c r="J95" i="1"/>
  <c r="M95" i="1"/>
  <c r="N95" i="1"/>
  <c r="Q95" i="1"/>
  <c r="Q112" i="1" s="1"/>
  <c r="S112" i="1" s="1"/>
  <c r="R95" i="1"/>
  <c r="U95" i="1"/>
  <c r="Y95" i="1"/>
  <c r="AA95" i="1"/>
  <c r="O96" i="1"/>
  <c r="S96" i="1"/>
  <c r="W96" i="1"/>
  <c r="K97" i="1"/>
  <c r="O97" i="1"/>
  <c r="S97" i="1"/>
  <c r="W97" i="1"/>
  <c r="Z97" i="1" s="1"/>
  <c r="K98" i="1"/>
  <c r="K101" i="1" s="1"/>
  <c r="O98" i="1"/>
  <c r="S98" i="1"/>
  <c r="W98" i="1"/>
  <c r="Z98" i="1"/>
  <c r="K99" i="1"/>
  <c r="O99" i="1"/>
  <c r="S99" i="1"/>
  <c r="W99" i="1"/>
  <c r="Z99" i="1" s="1"/>
  <c r="K100" i="1"/>
  <c r="O100" i="1"/>
  <c r="S100" i="1"/>
  <c r="W100" i="1"/>
  <c r="Z100" i="1" s="1"/>
  <c r="E101" i="1"/>
  <c r="G101" i="1"/>
  <c r="G112" i="1" s="1"/>
  <c r="I101" i="1"/>
  <c r="J101" i="1"/>
  <c r="M101" i="1"/>
  <c r="N101" i="1"/>
  <c r="O101" i="1" s="1"/>
  <c r="Q101" i="1"/>
  <c r="S101" i="1" s="1"/>
  <c r="R101" i="1"/>
  <c r="U101" i="1"/>
  <c r="Y101" i="1"/>
  <c r="AA101" i="1"/>
  <c r="O102" i="1"/>
  <c r="S102" i="1"/>
  <c r="W102" i="1"/>
  <c r="K103" i="1"/>
  <c r="O103" i="1"/>
  <c r="S103" i="1"/>
  <c r="W103" i="1"/>
  <c r="Z103" i="1" s="1"/>
  <c r="Z108" i="1" s="1"/>
  <c r="K104" i="1"/>
  <c r="O104" i="1"/>
  <c r="S104" i="1"/>
  <c r="W104" i="1"/>
  <c r="Z104" i="1" s="1"/>
  <c r="K105" i="1"/>
  <c r="O105" i="1"/>
  <c r="S105" i="1"/>
  <c r="W105" i="1"/>
  <c r="Z105" i="1"/>
  <c r="K106" i="1"/>
  <c r="O106" i="1"/>
  <c r="S106" i="1"/>
  <c r="W106" i="1"/>
  <c r="Z106" i="1"/>
  <c r="K107" i="1"/>
  <c r="K108" i="1" s="1"/>
  <c r="K112" i="1" s="1"/>
  <c r="O107" i="1"/>
  <c r="S107" i="1"/>
  <c r="W107" i="1"/>
  <c r="Z107" i="1" s="1"/>
  <c r="E108" i="1"/>
  <c r="E112" i="1" s="1"/>
  <c r="G108" i="1"/>
  <c r="I108" i="1"/>
  <c r="J108" i="1"/>
  <c r="M108" i="1"/>
  <c r="M112" i="1" s="1"/>
  <c r="O112" i="1" s="1"/>
  <c r="N108" i="1"/>
  <c r="Q108" i="1"/>
  <c r="R108" i="1"/>
  <c r="U108" i="1"/>
  <c r="W108" i="1" s="1"/>
  <c r="Y108" i="1"/>
  <c r="AA108" i="1"/>
  <c r="K109" i="1"/>
  <c r="O109" i="1"/>
  <c r="S109" i="1"/>
  <c r="W109" i="1"/>
  <c r="O110" i="1"/>
  <c r="S110" i="1"/>
  <c r="W110" i="1"/>
  <c r="K111" i="1"/>
  <c r="O111" i="1"/>
  <c r="S111" i="1"/>
  <c r="W111" i="1"/>
  <c r="Z111" i="1" s="1"/>
  <c r="O113" i="1"/>
  <c r="S113" i="1"/>
  <c r="W113" i="1"/>
  <c r="K114" i="1"/>
  <c r="O114" i="1"/>
  <c r="S114" i="1"/>
  <c r="W114" i="1"/>
  <c r="Z114" i="1" s="1"/>
  <c r="K115" i="1"/>
  <c r="O115" i="1"/>
  <c r="S115" i="1"/>
  <c r="W115" i="1"/>
  <c r="Z115" i="1" s="1"/>
  <c r="K116" i="1"/>
  <c r="O116" i="1"/>
  <c r="S116" i="1"/>
  <c r="W116" i="1"/>
  <c r="Z116" i="1" s="1"/>
  <c r="K117" i="1"/>
  <c r="O117" i="1"/>
  <c r="S117" i="1"/>
  <c r="W117" i="1"/>
  <c r="Z117" i="1" s="1"/>
  <c r="K118" i="1"/>
  <c r="O118" i="1"/>
  <c r="S118" i="1"/>
  <c r="W118" i="1"/>
  <c r="Z118" i="1"/>
  <c r="K119" i="1"/>
  <c r="O119" i="1"/>
  <c r="S119" i="1"/>
  <c r="W119" i="1"/>
  <c r="Z119" i="1" s="1"/>
  <c r="K120" i="1"/>
  <c r="O120" i="1"/>
  <c r="S120" i="1"/>
  <c r="W120" i="1"/>
  <c r="Z120" i="1"/>
  <c r="K121" i="1"/>
  <c r="O121" i="1"/>
  <c r="S121" i="1"/>
  <c r="W121" i="1"/>
  <c r="Z121" i="1"/>
  <c r="K122" i="1"/>
  <c r="O122" i="1"/>
  <c r="S122" i="1"/>
  <c r="W122" i="1"/>
  <c r="Z122" i="1" s="1"/>
  <c r="K123" i="1"/>
  <c r="O123" i="1"/>
  <c r="S123" i="1"/>
  <c r="W123" i="1"/>
  <c r="K124" i="1"/>
  <c r="O124" i="1"/>
  <c r="S124" i="1"/>
  <c r="W124" i="1"/>
  <c r="Z124" i="1" s="1"/>
  <c r="K125" i="1"/>
  <c r="O125" i="1"/>
  <c r="S125" i="1"/>
  <c r="W125" i="1"/>
  <c r="Z125" i="1" s="1"/>
  <c r="K126" i="1"/>
  <c r="O126" i="1"/>
  <c r="S126" i="1"/>
  <c r="W126" i="1"/>
  <c r="Z126" i="1" s="1"/>
  <c r="K127" i="1"/>
  <c r="O127" i="1"/>
  <c r="S127" i="1"/>
  <c r="W127" i="1"/>
  <c r="Z127" i="1"/>
  <c r="K128" i="1"/>
  <c r="O128" i="1"/>
  <c r="S128" i="1"/>
  <c r="W128" i="1"/>
  <c r="Z128" i="1" s="1"/>
  <c r="K129" i="1"/>
  <c r="O129" i="1"/>
  <c r="S129" i="1"/>
  <c r="W129" i="1"/>
  <c r="Z129" i="1"/>
  <c r="O130" i="1"/>
  <c r="S130" i="1"/>
  <c r="W130" i="1"/>
  <c r="K131" i="1"/>
  <c r="O131" i="1"/>
  <c r="S131" i="1"/>
  <c r="W131" i="1"/>
  <c r="Z131" i="1"/>
  <c r="K132" i="1"/>
  <c r="O132" i="1"/>
  <c r="S132" i="1"/>
  <c r="W132" i="1"/>
  <c r="Z132" i="1"/>
  <c r="K133" i="1"/>
  <c r="O133" i="1"/>
  <c r="S133" i="1"/>
  <c r="W133" i="1"/>
  <c r="Z133" i="1" s="1"/>
  <c r="G134" i="1"/>
  <c r="I134" i="1"/>
  <c r="J134" i="1"/>
  <c r="M134" i="1"/>
  <c r="O134" i="1" s="1"/>
  <c r="N134" i="1"/>
  <c r="Q134" i="1"/>
  <c r="R134" i="1"/>
  <c r="U134" i="1"/>
  <c r="Y134" i="1"/>
  <c r="AA134" i="1"/>
  <c r="O135" i="1"/>
  <c r="S135" i="1"/>
  <c r="W135" i="1"/>
  <c r="K136" i="1"/>
  <c r="O136" i="1"/>
  <c r="S136" i="1"/>
  <c r="W136" i="1"/>
  <c r="Z136" i="1"/>
  <c r="K137" i="1"/>
  <c r="O137" i="1"/>
  <c r="S137" i="1"/>
  <c r="W137" i="1"/>
  <c r="Z137" i="1" s="1"/>
  <c r="K138" i="1"/>
  <c r="O138" i="1"/>
  <c r="S138" i="1"/>
  <c r="W138" i="1"/>
  <c r="Z138" i="1" s="1"/>
  <c r="G139" i="1"/>
  <c r="I139" i="1"/>
  <c r="I161" i="1" s="1"/>
  <c r="I157" i="1"/>
  <c r="J139" i="1"/>
  <c r="J157" i="1"/>
  <c r="M139" i="1"/>
  <c r="N139" i="1"/>
  <c r="N157" i="1"/>
  <c r="Q139" i="1"/>
  <c r="R139" i="1"/>
  <c r="R161" i="1" s="1"/>
  <c r="U139" i="1"/>
  <c r="U157" i="1"/>
  <c r="Y139" i="1"/>
  <c r="AA139" i="1"/>
  <c r="AA157" i="1"/>
  <c r="O140" i="1"/>
  <c r="S140" i="1"/>
  <c r="W140" i="1"/>
  <c r="K141" i="1"/>
  <c r="O141" i="1"/>
  <c r="S141" i="1"/>
  <c r="W141" i="1"/>
  <c r="Z141" i="1" s="1"/>
  <c r="Z144" i="1" s="1"/>
  <c r="K142" i="1"/>
  <c r="O142" i="1"/>
  <c r="S142" i="1"/>
  <c r="W142" i="1"/>
  <c r="Z142" i="1" s="1"/>
  <c r="K143" i="1"/>
  <c r="O143" i="1"/>
  <c r="S143" i="1"/>
  <c r="W143" i="1"/>
  <c r="Z143" i="1"/>
  <c r="G144" i="1"/>
  <c r="I144" i="1"/>
  <c r="J144" i="1"/>
  <c r="M144" i="1"/>
  <c r="N144" i="1"/>
  <c r="Q144" i="1"/>
  <c r="S144" i="1" s="1"/>
  <c r="R144" i="1"/>
  <c r="U144" i="1"/>
  <c r="Y144" i="1"/>
  <c r="AA144" i="1"/>
  <c r="O145" i="1"/>
  <c r="S145" i="1"/>
  <c r="W145" i="1"/>
  <c r="K146" i="1"/>
  <c r="O146" i="1"/>
  <c r="S146" i="1"/>
  <c r="W146" i="1"/>
  <c r="Z146" i="1"/>
  <c r="K147" i="1"/>
  <c r="O147" i="1"/>
  <c r="S147" i="1"/>
  <c r="W147" i="1"/>
  <c r="K148" i="1"/>
  <c r="O148" i="1"/>
  <c r="S148" i="1"/>
  <c r="W148" i="1"/>
  <c r="Z148" i="1" s="1"/>
  <c r="AA148" i="1"/>
  <c r="K149" i="1"/>
  <c r="O149" i="1"/>
  <c r="S149" i="1"/>
  <c r="W149" i="1"/>
  <c r="Z149" i="1" s="1"/>
  <c r="K150" i="1"/>
  <c r="O150" i="1"/>
  <c r="S150" i="1"/>
  <c r="W150" i="1"/>
  <c r="Z150" i="1"/>
  <c r="AA150" i="1"/>
  <c r="E151" i="1"/>
  <c r="G151" i="1"/>
  <c r="I151" i="1"/>
  <c r="J151" i="1"/>
  <c r="J161" i="1" s="1"/>
  <c r="M151" i="1"/>
  <c r="N151" i="1"/>
  <c r="Q151" i="1"/>
  <c r="R151" i="1"/>
  <c r="U151" i="1"/>
  <c r="Y151" i="1"/>
  <c r="O152" i="1"/>
  <c r="S152" i="1"/>
  <c r="W152" i="1"/>
  <c r="K153" i="1"/>
  <c r="O153" i="1"/>
  <c r="S153" i="1"/>
  <c r="W153" i="1"/>
  <c r="Z153" i="1" s="1"/>
  <c r="K154" i="1"/>
  <c r="O154" i="1"/>
  <c r="S154" i="1"/>
  <c r="W154" i="1"/>
  <c r="Z154" i="1"/>
  <c r="K155" i="1"/>
  <c r="O155" i="1"/>
  <c r="S155" i="1"/>
  <c r="W155" i="1"/>
  <c r="Z155" i="1" s="1"/>
  <c r="K156" i="1"/>
  <c r="O156" i="1"/>
  <c r="S156" i="1"/>
  <c r="W156" i="1"/>
  <c r="Z156" i="1" s="1"/>
  <c r="E157" i="1"/>
  <c r="G157" i="1"/>
  <c r="M157" i="1"/>
  <c r="O157" i="1" s="1"/>
  <c r="Q157" i="1"/>
  <c r="S157" i="1" s="1"/>
  <c r="R157" i="1"/>
  <c r="Y157" i="1"/>
  <c r="O158" i="1"/>
  <c r="S158" i="1"/>
  <c r="W158" i="1"/>
  <c r="K159" i="1"/>
  <c r="O159" i="1"/>
  <c r="S159" i="1"/>
  <c r="W159" i="1"/>
  <c r="Z159" i="1" s="1"/>
  <c r="K160" i="1"/>
  <c r="O160" i="1"/>
  <c r="S160" i="1"/>
  <c r="W160" i="1"/>
  <c r="O162" i="1"/>
  <c r="S162" i="1"/>
  <c r="W162" i="1"/>
  <c r="K163" i="1"/>
  <c r="O163" i="1"/>
  <c r="S163" i="1"/>
  <c r="W163" i="1"/>
  <c r="Z163" i="1" s="1"/>
  <c r="K164" i="1"/>
  <c r="O164" i="1"/>
  <c r="S164" i="1"/>
  <c r="W164" i="1"/>
  <c r="Z164" i="1" s="1"/>
  <c r="K165" i="1"/>
  <c r="O165" i="1"/>
  <c r="S165" i="1"/>
  <c r="W165" i="1"/>
  <c r="Z165" i="1"/>
  <c r="K166" i="1"/>
  <c r="O166" i="1"/>
  <c r="S166" i="1"/>
  <c r="W166" i="1"/>
  <c r="Z166" i="1" s="1"/>
  <c r="K167" i="1"/>
  <c r="O167" i="1"/>
  <c r="S167" i="1"/>
  <c r="W167" i="1"/>
  <c r="Z167" i="1" s="1"/>
  <c r="K168" i="1"/>
  <c r="O168" i="1"/>
  <c r="S168" i="1"/>
  <c r="W168" i="1"/>
  <c r="Z168" i="1" s="1"/>
  <c r="K169" i="1"/>
  <c r="O169" i="1"/>
  <c r="S169" i="1"/>
  <c r="W169" i="1"/>
  <c r="Z169" i="1" s="1"/>
  <c r="K170" i="1"/>
  <c r="O170" i="1"/>
  <c r="S170" i="1"/>
  <c r="W170" i="1"/>
  <c r="Z170" i="1"/>
  <c r="J171" i="1"/>
  <c r="K171" i="1"/>
  <c r="O171" i="1"/>
  <c r="S171" i="1"/>
  <c r="W171" i="1"/>
  <c r="Z171" i="1"/>
  <c r="K172" i="1"/>
  <c r="O172" i="1"/>
  <c r="S172" i="1"/>
  <c r="W172" i="1"/>
  <c r="K173" i="1"/>
  <c r="O173" i="1"/>
  <c r="S173" i="1"/>
  <c r="W173" i="1"/>
  <c r="Z173" i="1" s="1"/>
  <c r="K174" i="1"/>
  <c r="O174" i="1"/>
  <c r="S174" i="1"/>
  <c r="W174" i="1"/>
  <c r="Z174" i="1" s="1"/>
  <c r="K175" i="1"/>
  <c r="O175" i="1"/>
  <c r="S175" i="1"/>
  <c r="W175" i="1"/>
  <c r="Z175" i="1" s="1"/>
  <c r="K176" i="1"/>
  <c r="O176" i="1"/>
  <c r="S176" i="1"/>
  <c r="W176" i="1"/>
  <c r="Z176" i="1"/>
  <c r="O177" i="1"/>
  <c r="S177" i="1"/>
  <c r="W177" i="1"/>
  <c r="K178" i="1"/>
  <c r="K183" i="1" s="1"/>
  <c r="O178" i="1"/>
  <c r="S178" i="1"/>
  <c r="W178" i="1"/>
  <c r="Z178" i="1" s="1"/>
  <c r="K179" i="1"/>
  <c r="O179" i="1"/>
  <c r="S179" i="1"/>
  <c r="W179" i="1"/>
  <c r="Z179" i="1" s="1"/>
  <c r="K180" i="1"/>
  <c r="O180" i="1"/>
  <c r="S180" i="1"/>
  <c r="W180" i="1"/>
  <c r="Z180" i="1" s="1"/>
  <c r="K181" i="1"/>
  <c r="O181" i="1"/>
  <c r="S181" i="1"/>
  <c r="W181" i="1"/>
  <c r="Z181" i="1"/>
  <c r="K182" i="1"/>
  <c r="O182" i="1"/>
  <c r="S182" i="1"/>
  <c r="W182" i="1"/>
  <c r="Z182" i="1" s="1"/>
  <c r="E183" i="1"/>
  <c r="G183" i="1"/>
  <c r="I183" i="1"/>
  <c r="J183" i="1"/>
  <c r="M183" i="1"/>
  <c r="N183" i="1"/>
  <c r="Q183" i="1"/>
  <c r="R183" i="1"/>
  <c r="U183" i="1"/>
  <c r="Y183" i="1"/>
  <c r="AA183" i="1"/>
  <c r="O184" i="1"/>
  <c r="S184" i="1"/>
  <c r="W184" i="1"/>
  <c r="K185" i="1"/>
  <c r="O185" i="1"/>
  <c r="S185" i="1"/>
  <c r="W185" i="1"/>
  <c r="Z185" i="1" s="1"/>
  <c r="K186" i="1"/>
  <c r="O186" i="1"/>
  <c r="S186" i="1"/>
  <c r="W186" i="1"/>
  <c r="Z186" i="1" s="1"/>
  <c r="K187" i="1"/>
  <c r="O187" i="1"/>
  <c r="S187" i="1"/>
  <c r="W187" i="1"/>
  <c r="Z187" i="1" s="1"/>
  <c r="K188" i="1"/>
  <c r="O188" i="1"/>
  <c r="S188" i="1"/>
  <c r="W188" i="1"/>
  <c r="Z188" i="1"/>
  <c r="K189" i="1"/>
  <c r="O189" i="1"/>
  <c r="S189" i="1"/>
  <c r="W189" i="1"/>
  <c r="Z189" i="1" s="1"/>
  <c r="K190" i="1"/>
  <c r="K191" i="1" s="1"/>
  <c r="O190" i="1"/>
  <c r="S190" i="1"/>
  <c r="W190" i="1"/>
  <c r="Z190" i="1" s="1"/>
  <c r="O192" i="1"/>
  <c r="S192" i="1"/>
  <c r="W192" i="1"/>
  <c r="K193" i="1"/>
  <c r="O193" i="1"/>
  <c r="S193" i="1"/>
  <c r="W193" i="1"/>
  <c r="Z193" i="1" s="1"/>
  <c r="K194" i="1"/>
  <c r="O194" i="1"/>
  <c r="S194" i="1"/>
  <c r="W194" i="1"/>
  <c r="Z194" i="1" s="1"/>
  <c r="K195" i="1"/>
  <c r="O195" i="1"/>
  <c r="S195" i="1"/>
  <c r="W195" i="1"/>
  <c r="Z195" i="1" s="1"/>
  <c r="Z198" i="1" s="1"/>
  <c r="K196" i="1"/>
  <c r="K198" i="1" s="1"/>
  <c r="O196" i="1"/>
  <c r="S196" i="1"/>
  <c r="W196" i="1"/>
  <c r="Z196" i="1" s="1"/>
  <c r="K197" i="1"/>
  <c r="O197" i="1"/>
  <c r="S197" i="1"/>
  <c r="W197" i="1"/>
  <c r="Z197" i="1"/>
  <c r="O199" i="1"/>
  <c r="S199" i="1"/>
  <c r="W199" i="1"/>
  <c r="K200" i="1"/>
  <c r="O200" i="1"/>
  <c r="S200" i="1"/>
  <c r="W200" i="1"/>
  <c r="Z200" i="1"/>
  <c r="K201" i="1"/>
  <c r="O201" i="1"/>
  <c r="S201" i="1"/>
  <c r="W201" i="1"/>
  <c r="K202" i="1"/>
  <c r="O202" i="1"/>
  <c r="S202" i="1"/>
  <c r="W202" i="1"/>
  <c r="Z202" i="1" s="1"/>
  <c r="K203" i="1"/>
  <c r="O203" i="1"/>
  <c r="S203" i="1"/>
  <c r="W203" i="1"/>
  <c r="Z203" i="1" s="1"/>
  <c r="K204" i="1"/>
  <c r="O204" i="1"/>
  <c r="S204" i="1"/>
  <c r="W204" i="1"/>
  <c r="E205" i="1"/>
  <c r="G205" i="1"/>
  <c r="I205" i="1"/>
  <c r="J205" i="1"/>
  <c r="M205" i="1"/>
  <c r="N205" i="1"/>
  <c r="Q205" i="1"/>
  <c r="R205" i="1"/>
  <c r="U205" i="1"/>
  <c r="Y205" i="1"/>
  <c r="AA205" i="1"/>
  <c r="K206" i="1"/>
  <c r="O206" i="1"/>
  <c r="S206" i="1"/>
  <c r="W206" i="1"/>
  <c r="O207" i="1"/>
  <c r="S207" i="1"/>
  <c r="W207" i="1"/>
  <c r="K208" i="1"/>
  <c r="O208" i="1"/>
  <c r="S208" i="1"/>
  <c r="W208" i="1"/>
  <c r="Z208" i="1"/>
  <c r="K209" i="1"/>
  <c r="O209" i="1"/>
  <c r="S209" i="1"/>
  <c r="W209" i="1"/>
  <c r="H210" i="1"/>
  <c r="H58" i="1"/>
  <c r="L210" i="1"/>
  <c r="L58" i="1"/>
  <c r="P210" i="1"/>
  <c r="P58" i="1"/>
  <c r="T210" i="1"/>
  <c r="T58" i="1"/>
  <c r="V210" i="1"/>
  <c r="X210" i="1"/>
  <c r="X58" i="1"/>
  <c r="O211" i="1"/>
  <c r="S211" i="1"/>
  <c r="W211" i="1"/>
  <c r="K212" i="1"/>
  <c r="O212" i="1"/>
  <c r="S212" i="1"/>
  <c r="W212" i="1"/>
  <c r="Z212" i="1" s="1"/>
  <c r="K213" i="1"/>
  <c r="O213" i="1"/>
  <c r="S213" i="1"/>
  <c r="W213" i="1"/>
  <c r="Z213" i="1"/>
  <c r="K214" i="1"/>
  <c r="O214" i="1"/>
  <c r="S214" i="1"/>
  <c r="W214" i="1"/>
  <c r="Z214" i="1" s="1"/>
  <c r="K215" i="1"/>
  <c r="O215" i="1"/>
  <c r="S215" i="1"/>
  <c r="W215" i="1"/>
  <c r="Z215" i="1" s="1"/>
  <c r="K216" i="1"/>
  <c r="O216" i="1"/>
  <c r="S216" i="1"/>
  <c r="W216" i="1"/>
  <c r="Z216" i="1" s="1"/>
  <c r="K217" i="1"/>
  <c r="O217" i="1"/>
  <c r="S217" i="1"/>
  <c r="W217" i="1"/>
  <c r="Z217" i="1" s="1"/>
  <c r="K218" i="1"/>
  <c r="O218" i="1"/>
  <c r="S218" i="1"/>
  <c r="W218" i="1"/>
  <c r="Z218" i="1"/>
  <c r="K219" i="1"/>
  <c r="O219" i="1"/>
  <c r="S219" i="1"/>
  <c r="W219" i="1"/>
  <c r="Z219" i="1" s="1"/>
  <c r="K220" i="1"/>
  <c r="O220" i="1"/>
  <c r="S220" i="1"/>
  <c r="W220" i="1"/>
  <c r="Z220" i="1" s="1"/>
  <c r="K221" i="1"/>
  <c r="O221" i="1"/>
  <c r="S221" i="1"/>
  <c r="W221" i="1"/>
  <c r="Z221" i="1"/>
  <c r="K222" i="1"/>
  <c r="O222" i="1"/>
  <c r="S222" i="1"/>
  <c r="W222" i="1"/>
  <c r="J223" i="1"/>
  <c r="K223" i="1" s="1"/>
  <c r="O223" i="1"/>
  <c r="S223" i="1"/>
  <c r="W223" i="1"/>
  <c r="Z223" i="1" s="1"/>
  <c r="K224" i="1"/>
  <c r="O224" i="1"/>
  <c r="S224" i="1"/>
  <c r="W224" i="1"/>
  <c r="Z224" i="1" s="1"/>
  <c r="K225" i="1"/>
  <c r="O225" i="1"/>
  <c r="S225" i="1"/>
  <c r="W225" i="1"/>
  <c r="Z225" i="1"/>
  <c r="K226" i="1"/>
  <c r="O226" i="1"/>
  <c r="S226" i="1"/>
  <c r="W226" i="1"/>
  <c r="Z226" i="1" s="1"/>
  <c r="K227" i="1"/>
  <c r="O227" i="1"/>
  <c r="S227" i="1"/>
  <c r="W227" i="1"/>
  <c r="Z227" i="1" s="1"/>
  <c r="K228" i="1"/>
  <c r="O228" i="1"/>
  <c r="S228" i="1"/>
  <c r="W228" i="1"/>
  <c r="Z228" i="1" s="1"/>
  <c r="K229" i="1"/>
  <c r="O229" i="1"/>
  <c r="S229" i="1"/>
  <c r="W229" i="1"/>
  <c r="Z229" i="1" s="1"/>
  <c r="K230" i="1"/>
  <c r="O230" i="1"/>
  <c r="S230" i="1"/>
  <c r="W230" i="1"/>
  <c r="K231" i="1"/>
  <c r="O231" i="1"/>
  <c r="S231" i="1"/>
  <c r="W231" i="1"/>
  <c r="Z231" i="1"/>
  <c r="K232" i="1"/>
  <c r="O232" i="1"/>
  <c r="S232" i="1"/>
  <c r="W232" i="1"/>
  <c r="Z232" i="1" s="1"/>
  <c r="K233" i="1"/>
  <c r="O233" i="1"/>
  <c r="S233" i="1"/>
  <c r="W233" i="1"/>
  <c r="Z233" i="1" s="1"/>
  <c r="K234" i="1"/>
  <c r="O234" i="1"/>
  <c r="S234" i="1"/>
  <c r="W234" i="1"/>
  <c r="Z234" i="1"/>
  <c r="K235" i="1"/>
  <c r="O235" i="1"/>
  <c r="S235" i="1"/>
  <c r="W235" i="1"/>
  <c r="Z235" i="1" s="1"/>
  <c r="O236" i="1"/>
  <c r="S236" i="1"/>
  <c r="W236" i="1"/>
  <c r="K237" i="1"/>
  <c r="O237" i="1"/>
  <c r="S237" i="1"/>
  <c r="W237" i="1"/>
  <c r="Z237" i="1" s="1"/>
  <c r="K238" i="1"/>
  <c r="O238" i="1"/>
  <c r="S238" i="1"/>
  <c r="W238" i="1"/>
  <c r="Z238" i="1" s="1"/>
  <c r="K239" i="1"/>
  <c r="K240" i="1" s="1"/>
  <c r="O239" i="1"/>
  <c r="S239" i="1"/>
  <c r="W239" i="1"/>
  <c r="Z239" i="1"/>
  <c r="E240" i="1"/>
  <c r="E245" i="1"/>
  <c r="G240" i="1"/>
  <c r="I240" i="1"/>
  <c r="I245" i="1" s="1"/>
  <c r="J240" i="1"/>
  <c r="M240" i="1"/>
  <c r="M245" i="1" s="1"/>
  <c r="O245" i="1" s="1"/>
  <c r="N240" i="1"/>
  <c r="Q240" i="1"/>
  <c r="R240" i="1"/>
  <c r="U240" i="1"/>
  <c r="U245" i="1" s="1"/>
  <c r="Y240" i="1"/>
  <c r="AA240" i="1"/>
  <c r="AA245" i="1" s="1"/>
  <c r="O241" i="1"/>
  <c r="S241" i="1"/>
  <c r="W241" i="1"/>
  <c r="K242" i="1"/>
  <c r="O242" i="1"/>
  <c r="S242" i="1"/>
  <c r="W242" i="1"/>
  <c r="Z242" i="1"/>
  <c r="K243" i="1"/>
  <c r="O243" i="1"/>
  <c r="S243" i="1"/>
  <c r="W243" i="1"/>
  <c r="Z243" i="1" s="1"/>
  <c r="K244" i="1"/>
  <c r="O244" i="1"/>
  <c r="S244" i="1"/>
  <c r="W244" i="1"/>
  <c r="O246" i="1"/>
  <c r="S246" i="1"/>
  <c r="W246" i="1"/>
  <c r="O248" i="1"/>
  <c r="S248" i="1"/>
  <c r="W248" i="1"/>
  <c r="K249" i="1"/>
  <c r="O249" i="1"/>
  <c r="S249" i="1"/>
  <c r="W249" i="1"/>
  <c r="Z249" i="1" s="1"/>
  <c r="K250" i="1"/>
  <c r="O250" i="1"/>
  <c r="S250" i="1"/>
  <c r="W250" i="1"/>
  <c r="Z250" i="1" s="1"/>
  <c r="K251" i="1"/>
  <c r="O251" i="1"/>
  <c r="S251" i="1"/>
  <c r="W251" i="1"/>
  <c r="Z251" i="1" s="1"/>
  <c r="K252" i="1"/>
  <c r="O252" i="1"/>
  <c r="S252" i="1"/>
  <c r="W252" i="1"/>
  <c r="Z252" i="1"/>
  <c r="K253" i="1"/>
  <c r="O253" i="1"/>
  <c r="S253" i="1"/>
  <c r="W253" i="1"/>
  <c r="Z253" i="1" s="1"/>
  <c r="K254" i="1"/>
  <c r="O254" i="1"/>
  <c r="S254" i="1"/>
  <c r="W254" i="1"/>
  <c r="Z254" i="1" s="1"/>
  <c r="O255" i="1"/>
  <c r="S255" i="1"/>
  <c r="W255" i="1"/>
  <c r="K256" i="1"/>
  <c r="O256" i="1"/>
  <c r="S256" i="1"/>
  <c r="W256" i="1"/>
  <c r="Z256" i="1" s="1"/>
  <c r="K257" i="1"/>
  <c r="O257" i="1"/>
  <c r="S257" i="1"/>
  <c r="W257" i="1"/>
  <c r="Z257" i="1" s="1"/>
  <c r="K258" i="1"/>
  <c r="O258" i="1"/>
  <c r="S258" i="1"/>
  <c r="W258" i="1"/>
  <c r="Z258" i="1" s="1"/>
  <c r="J259" i="1"/>
  <c r="O259" i="1"/>
  <c r="S259" i="1"/>
  <c r="G260" i="1"/>
  <c r="I260" i="1"/>
  <c r="M260" i="1"/>
  <c r="N260" i="1"/>
  <c r="N245" i="1"/>
  <c r="S260" i="1"/>
  <c r="O261" i="1"/>
  <c r="S261" i="1"/>
  <c r="W261" i="1"/>
  <c r="K262" i="1"/>
  <c r="O262" i="1"/>
  <c r="S262" i="1"/>
  <c r="W262" i="1"/>
  <c r="Z262" i="1" s="1"/>
  <c r="K263" i="1"/>
  <c r="O263" i="1"/>
  <c r="S263" i="1"/>
  <c r="W263" i="1"/>
  <c r="Z263" i="1"/>
  <c r="K264" i="1"/>
  <c r="O264" i="1"/>
  <c r="S264" i="1"/>
  <c r="W264" i="1"/>
  <c r="Z264" i="1" s="1"/>
  <c r="K265" i="1"/>
  <c r="O265" i="1"/>
  <c r="S265" i="1"/>
  <c r="W265" i="1"/>
  <c r="Z265" i="1" s="1"/>
  <c r="K266" i="1"/>
  <c r="O266" i="1"/>
  <c r="S266" i="1"/>
  <c r="W266" i="1"/>
  <c r="Z266" i="1" s="1"/>
  <c r="K267" i="1"/>
  <c r="O267" i="1"/>
  <c r="S267" i="1"/>
  <c r="W267" i="1"/>
  <c r="Z267" i="1"/>
  <c r="K268" i="1"/>
  <c r="O268" i="1"/>
  <c r="S268" i="1"/>
  <c r="W268" i="1"/>
  <c r="Z268" i="1" s="1"/>
  <c r="K269" i="1"/>
  <c r="O269" i="1"/>
  <c r="S269" i="1"/>
  <c r="W269" i="1"/>
  <c r="Z269" i="1" s="1"/>
  <c r="K270" i="1"/>
  <c r="O270" i="1"/>
  <c r="S270" i="1"/>
  <c r="W270" i="1"/>
  <c r="Z270" i="1" s="1"/>
  <c r="K271" i="1"/>
  <c r="O271" i="1"/>
  <c r="S271" i="1"/>
  <c r="W271" i="1"/>
  <c r="Z271" i="1"/>
  <c r="K272" i="1"/>
  <c r="O272" i="1"/>
  <c r="S272" i="1"/>
  <c r="W272" i="1"/>
  <c r="Z272" i="1" s="1"/>
  <c r="E273" i="1"/>
  <c r="J273" i="1"/>
  <c r="N273" i="1"/>
  <c r="Q273" i="1"/>
  <c r="R273" i="1"/>
  <c r="R282" i="1" s="1"/>
  <c r="R245" i="1"/>
  <c r="Y273" i="1"/>
  <c r="Y282" i="1" s="1"/>
  <c r="O274" i="1"/>
  <c r="S274" i="1"/>
  <c r="W274" i="1"/>
  <c r="K275" i="1"/>
  <c r="O275" i="1"/>
  <c r="S275" i="1"/>
  <c r="W275" i="1"/>
  <c r="Z275" i="1" s="1"/>
  <c r="O276" i="1"/>
  <c r="W276" i="1"/>
  <c r="Z276" i="1"/>
  <c r="K277" i="1"/>
  <c r="O277" i="1"/>
  <c r="S277" i="1"/>
  <c r="W277" i="1"/>
  <c r="Z277" i="1" s="1"/>
  <c r="E278" i="1"/>
  <c r="G278" i="1"/>
  <c r="W278" i="1" s="1"/>
  <c r="Z278" i="1" s="1"/>
  <c r="G273" i="1"/>
  <c r="I278" i="1"/>
  <c r="I273" i="1"/>
  <c r="J278" i="1"/>
  <c r="J245" i="1"/>
  <c r="M278" i="1"/>
  <c r="O278" i="1" s="1"/>
  <c r="M273" i="1"/>
  <c r="O273" i="1"/>
  <c r="N278" i="1"/>
  <c r="S278" i="1"/>
  <c r="O279" i="1"/>
  <c r="S279" i="1"/>
  <c r="W279" i="1"/>
  <c r="K280" i="1"/>
  <c r="O280" i="1"/>
  <c r="S280" i="1"/>
  <c r="W280" i="1"/>
  <c r="Z280" i="1" s="1"/>
  <c r="O281" i="1"/>
  <c r="S281" i="1"/>
  <c r="W281" i="1"/>
  <c r="G245" i="1"/>
  <c r="AA282" i="1"/>
  <c r="K283" i="1"/>
  <c r="O283" i="1"/>
  <c r="S283" i="1"/>
  <c r="W283" i="1"/>
  <c r="S108" i="1"/>
  <c r="W205" i="1"/>
  <c r="K273" i="1"/>
  <c r="W144" i="1"/>
  <c r="G161" i="1"/>
  <c r="Y245" i="1"/>
  <c r="O205" i="1"/>
  <c r="U282" i="1"/>
  <c r="K157" i="1"/>
  <c r="W139" i="1"/>
  <c r="W53" i="1"/>
  <c r="W101" i="1"/>
  <c r="M161" i="1"/>
  <c r="G44" i="1"/>
  <c r="G58" i="1" s="1"/>
  <c r="U161" i="1"/>
  <c r="Y44" i="1"/>
  <c r="M44" i="1"/>
  <c r="Q44" i="1"/>
  <c r="G38" i="1"/>
  <c r="Y38" i="1"/>
  <c r="Y198" i="1"/>
  <c r="Y191" i="1"/>
  <c r="Q38" i="1"/>
  <c r="Q58" i="1"/>
  <c r="G198" i="1"/>
  <c r="M38" i="1"/>
  <c r="U44" i="1"/>
  <c r="G191" i="1"/>
  <c r="M198" i="1"/>
  <c r="U38" i="1"/>
  <c r="Q198" i="1"/>
  <c r="M191" i="1"/>
  <c r="Q191" i="1"/>
  <c r="U198" i="1"/>
  <c r="U210" i="1" s="1"/>
  <c r="U191" i="1"/>
  <c r="N191" i="1"/>
  <c r="N198" i="1"/>
  <c r="O198" i="1" s="1"/>
  <c r="N112" i="1"/>
  <c r="N44" i="1"/>
  <c r="N38" i="1"/>
  <c r="R191" i="1"/>
  <c r="S191" i="1" s="1"/>
  <c r="R198" i="1"/>
  <c r="R112" i="1"/>
  <c r="R44" i="1"/>
  <c r="R38" i="1"/>
  <c r="J191" i="1"/>
  <c r="J198" i="1"/>
  <c r="J112" i="1"/>
  <c r="J44" i="1"/>
  <c r="J58" i="1" s="1"/>
  <c r="J38" i="1"/>
  <c r="S198" i="1"/>
  <c r="I191" i="1"/>
  <c r="I210" i="1" s="1"/>
  <c r="I198" i="1"/>
  <c r="I44" i="1"/>
  <c r="I58" i="1" s="1"/>
  <c r="I38" i="1"/>
  <c r="AA191" i="1"/>
  <c r="AA198" i="1"/>
  <c r="AA44" i="1"/>
  <c r="AA38" i="1"/>
  <c r="E38" i="1"/>
  <c r="E44" i="1"/>
  <c r="E191" i="1"/>
  <c r="E198" i="1"/>
  <c r="S44" i="1"/>
  <c r="O191" i="1"/>
  <c r="W191" i="1"/>
  <c r="O44" i="1"/>
  <c r="Z101" i="1" l="1"/>
  <c r="AA58" i="1"/>
  <c r="N58" i="1"/>
  <c r="S95" i="1"/>
  <c r="O240" i="1"/>
  <c r="I282" i="1"/>
  <c r="E282" i="1"/>
  <c r="S151" i="1"/>
  <c r="S139" i="1"/>
  <c r="W157" i="1"/>
  <c r="K44" i="1"/>
  <c r="K53" i="1"/>
  <c r="I247" i="1"/>
  <c r="R210" i="1"/>
  <c r="AA151" i="1"/>
  <c r="O144" i="1"/>
  <c r="K139" i="1"/>
  <c r="S134" i="1"/>
  <c r="W95" i="1"/>
  <c r="O95" i="1"/>
  <c r="Z38" i="1"/>
  <c r="Z191" i="1"/>
  <c r="G210" i="1"/>
  <c r="G247" i="1" s="1"/>
  <c r="AA210" i="1"/>
  <c r="AB209" i="1" s="1"/>
  <c r="J210" i="1"/>
  <c r="J247" i="1" s="1"/>
  <c r="W44" i="1"/>
  <c r="Y58" i="1"/>
  <c r="W273" i="1"/>
  <c r="Z273" i="1" s="1"/>
  <c r="Z157" i="1"/>
  <c r="O151" i="1"/>
  <c r="K151" i="1"/>
  <c r="K144" i="1"/>
  <c r="O108" i="1"/>
  <c r="AA112" i="1"/>
  <c r="K245" i="1"/>
  <c r="W198" i="1"/>
  <c r="Q210" i="1"/>
  <c r="S210" i="1" s="1"/>
  <c r="S205" i="1"/>
  <c r="K205" i="1"/>
  <c r="K210" i="1" s="1"/>
  <c r="Y210" i="1"/>
  <c r="Z134" i="1"/>
  <c r="K58" i="1"/>
  <c r="S240" i="1"/>
  <c r="Q245" i="1"/>
  <c r="W183" i="1"/>
  <c r="K259" i="1"/>
  <c r="K260" i="1" s="1"/>
  <c r="W259" i="1"/>
  <c r="Z259" i="1" s="1"/>
  <c r="U58" i="1"/>
  <c r="W161" i="1"/>
  <c r="M282" i="1"/>
  <c r="O260" i="1"/>
  <c r="O282" i="1" s="1"/>
  <c r="N282" i="1"/>
  <c r="G282" i="1"/>
  <c r="M210" i="1"/>
  <c r="M247" i="1" s="1"/>
  <c r="O183" i="1"/>
  <c r="E210" i="1"/>
  <c r="Y161" i="1"/>
  <c r="W134" i="1"/>
  <c r="Z95" i="1"/>
  <c r="Z112" i="1" s="1"/>
  <c r="Z44" i="1"/>
  <c r="Q282" i="1"/>
  <c r="S273" i="1"/>
  <c r="S282" i="1" s="1"/>
  <c r="Z139" i="1"/>
  <c r="AA161" i="1"/>
  <c r="E58" i="1"/>
  <c r="R58" i="1"/>
  <c r="S58" i="1" s="1"/>
  <c r="S38" i="1"/>
  <c r="W38" i="1"/>
  <c r="W245" i="1"/>
  <c r="S183" i="1"/>
  <c r="J260" i="1"/>
  <c r="J282" i="1" s="1"/>
  <c r="J284" i="1" s="1"/>
  <c r="Z240" i="1"/>
  <c r="Z245" i="1" s="1"/>
  <c r="Z183" i="1"/>
  <c r="N161" i="1"/>
  <c r="O161" i="1" s="1"/>
  <c r="O139" i="1"/>
  <c r="Z205" i="1"/>
  <c r="E161" i="1"/>
  <c r="Z53" i="1"/>
  <c r="O38" i="1"/>
  <c r="U112" i="1"/>
  <c r="U247" i="1" s="1"/>
  <c r="U284" i="1" s="1"/>
  <c r="Q161" i="1"/>
  <c r="S161" i="1" s="1"/>
  <c r="K278" i="1"/>
  <c r="W240" i="1"/>
  <c r="W151" i="1"/>
  <c r="Z151" i="1"/>
  <c r="O53" i="1"/>
  <c r="M58" i="1"/>
  <c r="O58" i="1" s="1"/>
  <c r="N210" i="1"/>
  <c r="N247" i="1" s="1"/>
  <c r="N284" i="1" s="1"/>
  <c r="K134" i="1"/>
  <c r="K161" i="1" s="1"/>
  <c r="Y112" i="1"/>
  <c r="AA247" i="1" l="1"/>
  <c r="AA284" i="1" s="1"/>
  <c r="W58" i="1"/>
  <c r="Y247" i="1"/>
  <c r="Y284" i="1" s="1"/>
  <c r="Y288" i="1" s="1"/>
  <c r="I284" i="1"/>
  <c r="Z210" i="1"/>
  <c r="G284" i="1"/>
  <c r="W260" i="1"/>
  <c r="K282" i="1"/>
  <c r="W210" i="1"/>
  <c r="Z161" i="1"/>
  <c r="Z247" i="1" s="1"/>
  <c r="K247" i="1"/>
  <c r="R247" i="1"/>
  <c r="R284" i="1" s="1"/>
  <c r="Q247" i="1"/>
  <c r="S245" i="1"/>
  <c r="O247" i="1"/>
  <c r="M284" i="1"/>
  <c r="O284" i="1" s="1"/>
  <c r="E247" i="1"/>
  <c r="E284" i="1" s="1"/>
  <c r="W112" i="1"/>
  <c r="Z58" i="1"/>
  <c r="O210" i="1"/>
  <c r="Z260" i="1" l="1"/>
  <c r="Z282" i="1" s="1"/>
  <c r="Z284" i="1" s="1"/>
  <c r="W282" i="1"/>
  <c r="W284" i="1"/>
  <c r="S247" i="1"/>
  <c r="Q284" i="1"/>
  <c r="S284" i="1" s="1"/>
  <c r="W247" i="1"/>
  <c r="K284" i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Q122" authorId="0" shapeId="0">
      <text>
        <r>
          <rPr>
            <sz val="8"/>
            <color indexed="81"/>
            <rFont val="Tahoma"/>
            <charset val="1"/>
          </rPr>
          <t>Rec. &amp; Parks:
lake louisa increase alt. 6,826</t>
        </r>
      </text>
    </comment>
  </commentList>
</comments>
</file>

<file path=xl/sharedStrings.xml><?xml version="1.0" encoding="utf-8"?>
<sst xmlns="http://schemas.openxmlformats.org/spreadsheetml/2006/main" count="1376" uniqueCount="443">
  <si>
    <t xml:space="preserve">DIVISION OF RECREATION AND PARKS          FY 02-03 FISCAL RECAP </t>
  </si>
  <si>
    <t>OFFICE/PARK</t>
  </si>
  <si>
    <t>FTE</t>
  </si>
  <si>
    <t>SAL/BEN</t>
  </si>
  <si>
    <t>OPS</t>
  </si>
  <si>
    <t>EXPENSE</t>
  </si>
  <si>
    <t>OUTSOURCING</t>
  </si>
  <si>
    <t>RESALE</t>
  </si>
  <si>
    <t>TOTAL</t>
  </si>
  <si>
    <t>REVENUES</t>
  </si>
  <si>
    <t>PROFIT/LOSS</t>
  </si>
  <si>
    <t>ATTENDANCE</t>
  </si>
  <si>
    <t>EXP</t>
  </si>
  <si>
    <t>ALLOT</t>
  </si>
  <si>
    <t>BAL.</t>
  </si>
  <si>
    <t>YTD EXP</t>
  </si>
  <si>
    <t>EXP.</t>
  </si>
  <si>
    <t>10</t>
  </si>
  <si>
    <t>00</t>
  </si>
  <si>
    <t>002</t>
  </si>
  <si>
    <t>Alfred B.Maclay Gardens</t>
  </si>
  <si>
    <t>Bald Point</t>
  </si>
  <si>
    <t>128</t>
  </si>
  <si>
    <t>Big Lagoon</t>
  </si>
  <si>
    <t>231</t>
  </si>
  <si>
    <t>Blackwater Heritage Trail</t>
  </si>
  <si>
    <t>008</t>
  </si>
  <si>
    <t>Blackwater River</t>
  </si>
  <si>
    <t>014</t>
  </si>
  <si>
    <t>Constitution Convention</t>
  </si>
  <si>
    <t>110</t>
  </si>
  <si>
    <t>Dead Lakes</t>
  </si>
  <si>
    <t>021</t>
  </si>
  <si>
    <t>Falling Waters</t>
  </si>
  <si>
    <t>025</t>
  </si>
  <si>
    <t>Florida Caverns</t>
  </si>
  <si>
    <t>042</t>
  </si>
  <si>
    <t>John Gorrie Museum</t>
  </si>
  <si>
    <t>Letchworth Mounds</t>
  </si>
  <si>
    <t>059</t>
  </si>
  <si>
    <t>Ochlockonee River</t>
  </si>
  <si>
    <t>Orman House</t>
  </si>
  <si>
    <t>Perdido Key</t>
  </si>
  <si>
    <t>094</t>
  </si>
  <si>
    <t>Ponce de Leon</t>
  </si>
  <si>
    <t>067</t>
  </si>
  <si>
    <t>St. Andrews</t>
  </si>
  <si>
    <t>068</t>
  </si>
  <si>
    <t>St. George Island</t>
  </si>
  <si>
    <t>069</t>
  </si>
  <si>
    <t>St. Joseph</t>
  </si>
  <si>
    <t>Tarkiln Bayou</t>
  </si>
  <si>
    <t>075</t>
  </si>
  <si>
    <t>Three Rivers</t>
  </si>
  <si>
    <t>Topsail Hill State Preserve</t>
  </si>
  <si>
    <t>077</t>
  </si>
  <si>
    <t>Torreya</t>
  </si>
  <si>
    <t>11</t>
  </si>
  <si>
    <t>000</t>
  </si>
  <si>
    <t>Wakulla Spgs Lodge &amp; Restaurant</t>
  </si>
  <si>
    <t>Wakulla Lodge - Spec Functions</t>
  </si>
  <si>
    <t>Wakulla Lodge - Dual Rate</t>
  </si>
  <si>
    <t>204</t>
  </si>
  <si>
    <t>Wakulla Springs State Park</t>
  </si>
  <si>
    <t>265</t>
  </si>
  <si>
    <t>The Real Florida Café</t>
  </si>
  <si>
    <t>05</t>
  </si>
  <si>
    <t>065</t>
  </si>
  <si>
    <t>Rocky Bayou</t>
  </si>
  <si>
    <t>186</t>
  </si>
  <si>
    <t>Henderson Beach</t>
  </si>
  <si>
    <t>Navarre Beach</t>
  </si>
  <si>
    <t>Camp Helen</t>
  </si>
  <si>
    <t>Deer Lake</t>
  </si>
  <si>
    <t>020</t>
  </si>
  <si>
    <t>Eden State Gardens</t>
  </si>
  <si>
    <t>033</t>
  </si>
  <si>
    <t>Grayton Beach</t>
  </si>
  <si>
    <t>04</t>
  </si>
  <si>
    <t>223</t>
  </si>
  <si>
    <t>Econfina River</t>
  </si>
  <si>
    <t>219</t>
  </si>
  <si>
    <t>Hernando DeSoto</t>
  </si>
  <si>
    <t>047</t>
  </si>
  <si>
    <t>Lake Jackson Mounds</t>
  </si>
  <si>
    <t>093</t>
  </si>
  <si>
    <t>Lake Talquin/River Bluff</t>
  </si>
  <si>
    <t>057</t>
  </si>
  <si>
    <t>Natural Bridge Battlefield</t>
  </si>
  <si>
    <t>071</t>
  </si>
  <si>
    <t>San Marcos de Apalache</t>
  </si>
  <si>
    <t>207</t>
  </si>
  <si>
    <t>Tallahassee/St. Marks Trail</t>
  </si>
  <si>
    <t>999</t>
  </si>
  <si>
    <t>Administration District 1</t>
  </si>
  <si>
    <t>DISTRICT ONE TOTALS</t>
  </si>
  <si>
    <t>DISTRICT TWO</t>
  </si>
  <si>
    <t>20</t>
  </si>
  <si>
    <t>Big Shoals</t>
  </si>
  <si>
    <t>012</t>
  </si>
  <si>
    <t>Cedar Key State Museum</t>
  </si>
  <si>
    <t>136</t>
  </si>
  <si>
    <t>Cedar Key Scrub</t>
  </si>
  <si>
    <t>017</t>
  </si>
  <si>
    <t>Crystal River Arch. Site</t>
  </si>
  <si>
    <t>109</t>
  </si>
  <si>
    <t>Devil's Millhopper</t>
  </si>
  <si>
    <t>026</t>
  </si>
  <si>
    <t>Forest Capital</t>
  </si>
  <si>
    <t>027</t>
  </si>
  <si>
    <t>Fort Clinch</t>
  </si>
  <si>
    <t>032</t>
  </si>
  <si>
    <t>Gold Head Branch</t>
  </si>
  <si>
    <t>Florida Folk Festival</t>
  </si>
  <si>
    <t>218</t>
  </si>
  <si>
    <t xml:space="preserve">Homossassa Springs </t>
  </si>
  <si>
    <t>086</t>
  </si>
  <si>
    <t>Ichetucknee Springs</t>
  </si>
  <si>
    <t>Madison Blue Springs</t>
  </si>
  <si>
    <t>089</t>
  </si>
  <si>
    <t>Marjorie Kinnan Rawlings</t>
  </si>
  <si>
    <t>Nature &amp; Heritage Tourism Center</t>
  </si>
  <si>
    <t>061</t>
  </si>
  <si>
    <t>Olustee Battlefield</t>
  </si>
  <si>
    <t>092</t>
  </si>
  <si>
    <t>Paynes Prairie</t>
  </si>
  <si>
    <t>096</t>
  </si>
  <si>
    <t>Fort Cooper</t>
  </si>
  <si>
    <t>215</t>
  </si>
  <si>
    <t>Peacock Springs</t>
  </si>
  <si>
    <t>211</t>
  </si>
  <si>
    <t>Rainbow Springs</t>
  </si>
  <si>
    <t>119</t>
  </si>
  <si>
    <t>San Felasco Hammock</t>
  </si>
  <si>
    <t>137</t>
  </si>
  <si>
    <t>Stephen Foster</t>
  </si>
  <si>
    <t>073</t>
  </si>
  <si>
    <t>Suwannee River</t>
  </si>
  <si>
    <t>243</t>
  </si>
  <si>
    <t>Troy Springs</t>
  </si>
  <si>
    <t>100</t>
  </si>
  <si>
    <t>Wacasassa Bay</t>
  </si>
  <si>
    <t>224</t>
  </si>
  <si>
    <t>Withlacoochee State Trail</t>
  </si>
  <si>
    <t>082</t>
  </si>
  <si>
    <t>Yulee Sugar Mills</t>
  </si>
  <si>
    <t>189</t>
  </si>
  <si>
    <t>Dudley Farm</t>
  </si>
  <si>
    <t>060</t>
  </si>
  <si>
    <t>O'Leno</t>
  </si>
  <si>
    <t>River Rise State Preserve</t>
  </si>
  <si>
    <t>Fanning Springs</t>
  </si>
  <si>
    <t>053</t>
  </si>
  <si>
    <t xml:space="preserve">Manatee Springs </t>
  </si>
  <si>
    <t>Nature Coast State Trail</t>
  </si>
  <si>
    <t>02</t>
  </si>
  <si>
    <t>192</t>
  </si>
  <si>
    <t>Amelia Island</t>
  </si>
  <si>
    <t>187</t>
  </si>
  <si>
    <t>Big Talbot Island</t>
  </si>
  <si>
    <t>227</t>
  </si>
  <si>
    <t>Fort George Island</t>
  </si>
  <si>
    <t>049</t>
  </si>
  <si>
    <t>Little Talbot Island</t>
  </si>
  <si>
    <t>Adm. District 2</t>
  </si>
  <si>
    <t>DISTRICT TWO TOTALS</t>
  </si>
  <si>
    <t>DISTRICT THREE</t>
  </si>
  <si>
    <t>30</t>
  </si>
  <si>
    <t>003</t>
  </si>
  <si>
    <t>Anastasia</t>
  </si>
  <si>
    <t>145</t>
  </si>
  <si>
    <t>De Leon Springs</t>
  </si>
  <si>
    <t>264</t>
  </si>
  <si>
    <t>Dunn's Creek</t>
  </si>
  <si>
    <t>024</t>
  </si>
  <si>
    <t>Flagler Beach</t>
  </si>
  <si>
    <t>Fort Mose</t>
  </si>
  <si>
    <t>195</t>
  </si>
  <si>
    <t>Guana River</t>
  </si>
  <si>
    <t>Kissimmee Prairie</t>
  </si>
  <si>
    <t>046</t>
  </si>
  <si>
    <t>Lake Griffin</t>
  </si>
  <si>
    <t>108</t>
  </si>
  <si>
    <t>Lake Louisa</t>
  </si>
  <si>
    <t>North Peninsula</t>
  </si>
  <si>
    <t>Palatka - Lake Butler Trail</t>
  </si>
  <si>
    <t>085</t>
  </si>
  <si>
    <t>Ravine Gardens</t>
  </si>
  <si>
    <t>072</t>
  </si>
  <si>
    <t>Sebastian Inlet</t>
  </si>
  <si>
    <t>203</t>
  </si>
  <si>
    <t xml:space="preserve">Silver River </t>
  </si>
  <si>
    <t>225</t>
  </si>
  <si>
    <t>Van Fleet State Trail</t>
  </si>
  <si>
    <t>132</t>
  </si>
  <si>
    <t>Tosohatchee</t>
  </si>
  <si>
    <t>07</t>
  </si>
  <si>
    <t>229</t>
  </si>
  <si>
    <t>Catfish Creek</t>
  </si>
  <si>
    <t>087</t>
  </si>
  <si>
    <t>Lake Kissimmee</t>
  </si>
  <si>
    <t>14</t>
  </si>
  <si>
    <t>022</t>
  </si>
  <si>
    <t>Faver-Dykes</t>
  </si>
  <si>
    <t>079</t>
  </si>
  <si>
    <t>Washington Oaks</t>
  </si>
  <si>
    <t>101</t>
  </si>
  <si>
    <t>Blue Spring</t>
  </si>
  <si>
    <t>038</t>
  </si>
  <si>
    <t>Hontoon Island</t>
  </si>
  <si>
    <t>Tomoka Basin GEOpark</t>
  </si>
  <si>
    <t>Addison Blockhouse Museum</t>
  </si>
  <si>
    <t>139</t>
  </si>
  <si>
    <t>Bulow Creek</t>
  </si>
  <si>
    <t>009</t>
  </si>
  <si>
    <t>Bulow Plantation Ruins</t>
  </si>
  <si>
    <t>076</t>
  </si>
  <si>
    <t>Tomoka</t>
  </si>
  <si>
    <t>Tomoka Basin GEOpark Total</t>
  </si>
  <si>
    <t>06</t>
  </si>
  <si>
    <t>124</t>
  </si>
  <si>
    <t>Lower Wekiva River</t>
  </si>
  <si>
    <t>150</t>
  </si>
  <si>
    <t>Rock Springs Run</t>
  </si>
  <si>
    <t>080</t>
  </si>
  <si>
    <t>Wekiwa Springs</t>
  </si>
  <si>
    <t>Administration District 3</t>
  </si>
  <si>
    <t>DISTRICT THREE TOTALS</t>
  </si>
  <si>
    <t>DISTRICT FOUR</t>
  </si>
  <si>
    <t>40</t>
  </si>
  <si>
    <t>013</t>
  </si>
  <si>
    <t>Collier-Seminole</t>
  </si>
  <si>
    <t>018</t>
  </si>
  <si>
    <t>Dade Battlefield</t>
  </si>
  <si>
    <t>091</t>
  </si>
  <si>
    <t>Delnor-Wiggins Pass</t>
  </si>
  <si>
    <t>114</t>
  </si>
  <si>
    <t>Fakahatchee Strand</t>
  </si>
  <si>
    <t>Fort Cooper (Dist 2)</t>
  </si>
  <si>
    <t>036</t>
  </si>
  <si>
    <t>Highlands Hammock</t>
  </si>
  <si>
    <t>045</t>
  </si>
  <si>
    <t>Koreshan</t>
  </si>
  <si>
    <t>Lake June Scrub</t>
  </si>
  <si>
    <t>193</t>
  </si>
  <si>
    <t xml:space="preserve">Lover's Key </t>
  </si>
  <si>
    <t>055</t>
  </si>
  <si>
    <t>Mound Key</t>
  </si>
  <si>
    <t>056</t>
  </si>
  <si>
    <t>Myakka River</t>
  </si>
  <si>
    <t>062</t>
  </si>
  <si>
    <t>Oscar Scherer</t>
  </si>
  <si>
    <t>118</t>
  </si>
  <si>
    <t>Paynes Creek</t>
  </si>
  <si>
    <t>236</t>
  </si>
  <si>
    <t>Skyway State Fishing Pier</t>
  </si>
  <si>
    <t>03</t>
  </si>
  <si>
    <t>127</t>
  </si>
  <si>
    <t>Cayo Costa</t>
  </si>
  <si>
    <t>201</t>
  </si>
  <si>
    <t>Don Pedro Island</t>
  </si>
  <si>
    <t>191</t>
  </si>
  <si>
    <t>Gasparilla Island</t>
  </si>
  <si>
    <t>099</t>
  </si>
  <si>
    <t>Stump Pass Beach</t>
  </si>
  <si>
    <t>08</t>
  </si>
  <si>
    <t>004</t>
  </si>
  <si>
    <t>Anclote Key</t>
  </si>
  <si>
    <t>010</t>
  </si>
  <si>
    <t>Caladesi Island</t>
  </si>
  <si>
    <t>222</t>
  </si>
  <si>
    <t>Egmont Key</t>
  </si>
  <si>
    <t>120</t>
  </si>
  <si>
    <t>Honeymoon Island</t>
  </si>
  <si>
    <t>Werner-Boyce</t>
  </si>
  <si>
    <t>15</t>
  </si>
  <si>
    <t>251</t>
  </si>
  <si>
    <t>Alafia River</t>
  </si>
  <si>
    <t>037</t>
  </si>
  <si>
    <t>Hillsborough River</t>
  </si>
  <si>
    <t>115</t>
  </si>
  <si>
    <t>Little Manatee River</t>
  </si>
  <si>
    <t>123</t>
  </si>
  <si>
    <t>Ybor City</t>
  </si>
  <si>
    <t>09</t>
  </si>
  <si>
    <t>220</t>
  </si>
  <si>
    <t>Beker</t>
  </si>
  <si>
    <t>031</t>
  </si>
  <si>
    <t>Gamble Plantation</t>
  </si>
  <si>
    <t>088</t>
  </si>
  <si>
    <t>Lake Manatee</t>
  </si>
  <si>
    <t>051</t>
  </si>
  <si>
    <t>Madira Bickel Mound</t>
  </si>
  <si>
    <t>Administration District 4</t>
  </si>
  <si>
    <t>ATTENDANCE DIFF</t>
  </si>
  <si>
    <t>DISTRICT FOUR TOTALS</t>
  </si>
  <si>
    <t>DISTRICT FIVE</t>
  </si>
  <si>
    <t>50</t>
  </si>
  <si>
    <t>202</t>
  </si>
  <si>
    <t xml:space="preserve">Avalon </t>
  </si>
  <si>
    <t>261</t>
  </si>
  <si>
    <t>Atlantic Ridge</t>
  </si>
  <si>
    <t>005</t>
  </si>
  <si>
    <t>Bahia Honda</t>
  </si>
  <si>
    <t>011</t>
  </si>
  <si>
    <t>Cape Florida</t>
  </si>
  <si>
    <t>228</t>
  </si>
  <si>
    <t xml:space="preserve">Curry Hammock </t>
  </si>
  <si>
    <t>263</t>
  </si>
  <si>
    <t>Fl. Keys Overseas Trail</t>
  </si>
  <si>
    <t>106</t>
  </si>
  <si>
    <t>Fort Pierce Inlet</t>
  </si>
  <si>
    <t>125</t>
  </si>
  <si>
    <t>Fort Zachary Taylor</t>
  </si>
  <si>
    <t>039</t>
  </si>
  <si>
    <t>Hugh Taylor Birch</t>
  </si>
  <si>
    <t>095</t>
  </si>
  <si>
    <t>Indian Key</t>
  </si>
  <si>
    <t>Jack Island</t>
  </si>
  <si>
    <t>043</t>
  </si>
  <si>
    <t>Jonathan Dickinson</t>
  </si>
  <si>
    <t>097</t>
  </si>
  <si>
    <t>Lignumvitae Key</t>
  </si>
  <si>
    <t>107</t>
  </si>
  <si>
    <t>Lloyd Beach</t>
  </si>
  <si>
    <t>050</t>
  </si>
  <si>
    <t>Long Key</t>
  </si>
  <si>
    <t>235</t>
  </si>
  <si>
    <t>Loxahatchee River</t>
  </si>
  <si>
    <t>140</t>
  </si>
  <si>
    <t>MacArthur Beach</t>
  </si>
  <si>
    <t>138</t>
  </si>
  <si>
    <t>Oleta River</t>
  </si>
  <si>
    <t>226</t>
  </si>
  <si>
    <t>San Pedro</t>
  </si>
  <si>
    <t>130</t>
  </si>
  <si>
    <t xml:space="preserve">Savannas </t>
  </si>
  <si>
    <t>230</t>
  </si>
  <si>
    <t xml:space="preserve">Seabranch </t>
  </si>
  <si>
    <t>070</t>
  </si>
  <si>
    <t>St. Lucie Inlet</t>
  </si>
  <si>
    <t>105</t>
  </si>
  <si>
    <t>The Barnacle</t>
  </si>
  <si>
    <t>Windley Key</t>
  </si>
  <si>
    <t>015</t>
  </si>
  <si>
    <t>Coral Reef (John Pennekamp)</t>
  </si>
  <si>
    <t>190</t>
  </si>
  <si>
    <t>Key Largo Hammock</t>
  </si>
  <si>
    <t>Administration District 5</t>
  </si>
  <si>
    <t>99</t>
  </si>
  <si>
    <t>Admin, - Key Largo Office</t>
  </si>
  <si>
    <t>DISTRICT FIVE TOTALS</t>
  </si>
  <si>
    <t>TOTAL - ALL DISTRICTS</t>
  </si>
  <si>
    <t>CENTRAL OFFICE</t>
  </si>
  <si>
    <t>Director's Office</t>
  </si>
  <si>
    <t>Division Safety Program</t>
  </si>
  <si>
    <t>Division Computer Network</t>
  </si>
  <si>
    <t>Div. Reserve.</t>
  </si>
  <si>
    <t>Administration - Divisionwide</t>
  </si>
  <si>
    <t>Budgeting &amp; Oper. Comp. Reviews</t>
  </si>
  <si>
    <t>Office of Park Planning</t>
  </si>
  <si>
    <t>01</t>
  </si>
  <si>
    <t>Comprehensive Planning</t>
  </si>
  <si>
    <t>Land Administration</t>
  </si>
  <si>
    <t>Land Use Planning</t>
  </si>
  <si>
    <t>OPP - TOTAL</t>
  </si>
  <si>
    <t>Bureau of Operational Services</t>
  </si>
  <si>
    <t>Training Section</t>
  </si>
  <si>
    <t>CSO/Volunteers</t>
  </si>
  <si>
    <t>Americorps D1</t>
  </si>
  <si>
    <t>Americorps D2</t>
  </si>
  <si>
    <t>Americorps D3</t>
  </si>
  <si>
    <t>Americorps D4</t>
  </si>
  <si>
    <t>Americorps D5</t>
  </si>
  <si>
    <t>Americorps Admin</t>
  </si>
  <si>
    <t>Concession and Revenue</t>
  </si>
  <si>
    <t>Ecotourism</t>
  </si>
  <si>
    <t>BOS - TOTAL</t>
  </si>
  <si>
    <t>23</t>
  </si>
  <si>
    <t>Bureau  Design &amp; Rec. Services</t>
  </si>
  <si>
    <t>Office of Local Recreation Svcs.</t>
  </si>
  <si>
    <t>BDRS - TOTAL</t>
  </si>
  <si>
    <t xml:space="preserve"> Bureau of Natural &amp; Cultural Rsrcs.</t>
  </si>
  <si>
    <t>Central OfficeTotal</t>
  </si>
  <si>
    <t>GRAND TOTAL</t>
  </si>
  <si>
    <t>$250,000 and above</t>
  </si>
  <si>
    <t>$50,000 to $250,000</t>
  </si>
  <si>
    <t>$10,000 to $50,000</t>
  </si>
  <si>
    <t>Under $10,000</t>
  </si>
  <si>
    <t>PARK</t>
  </si>
  <si>
    <t>160,000 and above</t>
  </si>
  <si>
    <t>50,000 to 160,000</t>
  </si>
  <si>
    <t>20,000 to 50,000</t>
  </si>
  <si>
    <t>Under 20,000</t>
  </si>
  <si>
    <t>Money Makers</t>
  </si>
  <si>
    <t xml:space="preserve">DIVISION OF RECREATION AND PARKS </t>
  </si>
  <si>
    <t xml:space="preserve">FY 02-03 FISCAL RECAP </t>
  </si>
  <si>
    <t>Wekiva Springs Admin</t>
  </si>
  <si>
    <t>Wekiva Springs AdminTotal</t>
  </si>
  <si>
    <t>Lake Kissimmee Admin</t>
  </si>
  <si>
    <t>Lake Kissimmee Admin Total</t>
  </si>
  <si>
    <t>Washington Oaks AdminTotal</t>
  </si>
  <si>
    <t xml:space="preserve">Washington Oaks Admin  </t>
  </si>
  <si>
    <t>Blue Springs Admin</t>
  </si>
  <si>
    <t>Blue Springs Admin Total</t>
  </si>
  <si>
    <t>Cayo Costa Admin</t>
  </si>
  <si>
    <t>Cayo Costa AdminTotal</t>
  </si>
  <si>
    <t>Honeymoon Island Admin</t>
  </si>
  <si>
    <t>Honeymoon Island Admin Total</t>
  </si>
  <si>
    <t>Gamble Plantation Admin</t>
  </si>
  <si>
    <t>Gamble Plantation Admin Total</t>
  </si>
  <si>
    <t>Hillsborough River Admin Total</t>
  </si>
  <si>
    <t xml:space="preserve">Hillsborough River Admin </t>
  </si>
  <si>
    <t>John Pennekamp Admin</t>
  </si>
  <si>
    <t>John Pennekamp Admin Total</t>
  </si>
  <si>
    <t>Henderson Beach Admin</t>
  </si>
  <si>
    <t>Henderson Beach Admin Total</t>
  </si>
  <si>
    <t>St Marks Admin</t>
  </si>
  <si>
    <t>St Marks Admin Total</t>
  </si>
  <si>
    <t>Grayton Beach Admin</t>
  </si>
  <si>
    <t>Grayton Beach Admin Total</t>
  </si>
  <si>
    <t>Talbot Islands Admin</t>
  </si>
  <si>
    <t>Talbot Islands Admin Total</t>
  </si>
  <si>
    <t>O'Leno Admin</t>
  </si>
  <si>
    <t>O'Leno Admin Total</t>
  </si>
  <si>
    <t>Manatee Springs Admin</t>
  </si>
  <si>
    <t>Manatee Springs Admin Total</t>
  </si>
  <si>
    <t>Sign Shop</t>
  </si>
  <si>
    <t>DISTRICT ONE</t>
  </si>
  <si>
    <t>Shell Island</t>
  </si>
  <si>
    <t>FY 02-03           State Park Revenues</t>
  </si>
  <si>
    <t>Expenditures include only general recurring categories</t>
  </si>
  <si>
    <t>REVENUE</t>
  </si>
  <si>
    <t>One time' revenues such as Land Use Proceeds are not included</t>
  </si>
  <si>
    <t>FY 02-03           State Park Profit/Loss</t>
  </si>
  <si>
    <t>FY 02-03           State Park Attendance</t>
  </si>
  <si>
    <t>Wakulla Springs Spec Functions</t>
  </si>
  <si>
    <t>Wakulla Springs Dual Rate</t>
  </si>
  <si>
    <t>Hillsborough River Admin</t>
  </si>
  <si>
    <t>Profit/Loss</t>
  </si>
  <si>
    <t>Losses under $85,000</t>
  </si>
  <si>
    <t>Losses $85,000 to $200,000</t>
  </si>
  <si>
    <t>Losses over $200,000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</si>
</sst>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43" formatCode="_(* #,##0.00_);_(* \(#,##0.00\);_(* &quot;-&quot;??_);_(@_)"/>
  </numFmts>
  <fonts count="21">
    <font>
      <sz val="10"/>
      <name val="Arial"/>
    </font>
    <font>
      <sz val="10"/>
      <name val="Arial"/>
    </font>
    <font>
      <sz val="10"/>
      <name val="Univers Condensed"/>
      <family val="2"/>
    </font>
    <font>
      <b/>
      <sz val="10"/>
      <name val="Univers Condensed"/>
      <family val="2"/>
    </font>
    <font>
      <b/>
      <sz val="9"/>
      <name val="Univers Condensed"/>
      <family val="2"/>
    </font>
    <font>
      <b/>
      <sz val="10"/>
      <color indexed="9"/>
      <name val="Univers Condensed"/>
      <family val="2"/>
    </font>
    <font>
      <b/>
      <i/>
      <sz val="10"/>
      <name val="Univers Condensed"/>
      <family val="2"/>
    </font>
    <font>
      <sz val="8"/>
      <name val="Univers Condensed"/>
      <family val="2"/>
    </font>
    <font>
      <b/>
      <sz val="8"/>
      <name val="Univers Condensed"/>
      <family val="2"/>
    </font>
    <font>
      <b/>
      <i/>
      <sz val="10"/>
      <color indexed="9"/>
      <name val="Univers Condensed"/>
      <family val="2"/>
    </font>
    <font>
      <b/>
      <i/>
      <sz val="16"/>
      <name val="Univers Condensed"/>
      <family val="2"/>
    </font>
    <font>
      <b/>
      <i/>
      <sz val="20"/>
      <color indexed="9"/>
      <name val="Univers Condensed"/>
      <family val="2"/>
    </font>
    <font>
      <b/>
      <sz val="11"/>
      <name val="Univers Condensed"/>
      <family val="2"/>
    </font>
    <font>
      <b/>
      <sz val="12"/>
      <name val="Univers Condensed"/>
      <family val="2"/>
    </font>
    <font>
      <b/>
      <i/>
      <sz val="18"/>
      <color indexed="9"/>
      <name val="Univers Condensed"/>
      <family val="2"/>
    </font>
    <font>
      <b/>
      <sz val="14"/>
      <name val="Univers Condensed"/>
      <family val="2"/>
    </font>
    <font>
      <b/>
      <i/>
      <sz val="40"/>
      <name val="Univers Condensed"/>
      <family val="2"/>
    </font>
    <font>
      <sz val="8"/>
      <color indexed="81"/>
      <name val="Tahoma"/>
      <charset val="1"/>
    </font>
    <font>
      <b/>
      <sz val="16"/>
      <name val="Univers Condensed"/>
      <family val="2"/>
    </font>
    <font>
      <sz val="10"/>
      <color indexed="9"/>
      <name val="Univers Condensed"/>
      <family val="2"/>
    </font>
    <font>
      <b/>
      <i/>
      <sz val="24"/>
      <color indexed="9"/>
      <name val="Univers Condensed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0">
    <xf numFmtId="0" fontId="0" fillId="0" borderId="0" xfId="0"/>
    <xf numFmtId="38" fontId="2" fillId="0" borderId="0" xfId="0" applyNumberFormat="1" applyFont="1" applyFill="1" applyBorder="1" applyAlignment="1">
      <alignment vertical="center"/>
    </xf>
    <xf numFmtId="38" fontId="2" fillId="0" borderId="1" xfId="0" applyNumberFormat="1" applyFont="1" applyFill="1" applyBorder="1" applyAlignment="1">
      <alignment vertical="center"/>
    </xf>
    <xf numFmtId="38" fontId="3" fillId="0" borderId="1" xfId="0" applyNumberFormat="1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 applyProtection="1">
      <alignment horizontal="center" vertical="center"/>
    </xf>
    <xf numFmtId="38" fontId="3" fillId="0" borderId="1" xfId="0" applyNumberFormat="1" applyFont="1" applyFill="1" applyBorder="1" applyAlignment="1">
      <alignment vertical="center"/>
    </xf>
    <xf numFmtId="38" fontId="7" fillId="0" borderId="1" xfId="0" applyNumberFormat="1" applyFont="1" applyFill="1" applyBorder="1" applyAlignment="1" applyProtection="1">
      <alignment horizontal="left" vertical="center"/>
    </xf>
    <xf numFmtId="38" fontId="6" fillId="0" borderId="1" xfId="0" applyNumberFormat="1" applyFont="1" applyFill="1" applyBorder="1" applyAlignment="1">
      <alignment horizontal="center" vertical="center"/>
    </xf>
    <xf numFmtId="38" fontId="2" fillId="0" borderId="1" xfId="1" applyNumberFormat="1" applyFont="1" applyFill="1" applyBorder="1" applyAlignment="1">
      <alignment vertical="center"/>
    </xf>
    <xf numFmtId="38" fontId="2" fillId="0" borderId="1" xfId="1" applyNumberFormat="1" applyFont="1" applyFill="1" applyBorder="1" applyAlignment="1" applyProtection="1">
      <alignment vertical="center"/>
    </xf>
    <xf numFmtId="38" fontId="2" fillId="0" borderId="1" xfId="0" applyNumberFormat="1" applyFont="1" applyFill="1" applyBorder="1" applyAlignment="1" applyProtection="1">
      <alignment vertical="center"/>
    </xf>
    <xf numFmtId="38" fontId="2" fillId="0" borderId="1" xfId="0" applyNumberFormat="1" applyFont="1" applyFill="1" applyBorder="1" applyAlignment="1">
      <alignment horizontal="center" vertical="center"/>
    </xf>
    <xf numFmtId="38" fontId="2" fillId="0" borderId="1" xfId="0" quotePrefix="1" applyNumberFormat="1" applyFont="1" applyFill="1" applyBorder="1" applyAlignment="1" applyProtection="1">
      <alignment horizontal="left" vertical="center"/>
    </xf>
    <xf numFmtId="38" fontId="2" fillId="0" borderId="1" xfId="0" quotePrefix="1" applyNumberFormat="1" applyFont="1" applyFill="1" applyBorder="1" applyAlignment="1" applyProtection="1">
      <alignment horizontal="center" vertical="center"/>
    </xf>
    <xf numFmtId="38" fontId="3" fillId="0" borderId="1" xfId="1" applyNumberFormat="1" applyFont="1" applyFill="1" applyBorder="1" applyAlignment="1">
      <alignment vertical="center"/>
    </xf>
    <xf numFmtId="38" fontId="2" fillId="0" borderId="1" xfId="0" applyNumberFormat="1" applyFont="1" applyFill="1" applyBorder="1" applyAlignment="1" applyProtection="1">
      <alignment horizontal="left" vertical="center"/>
    </xf>
    <xf numFmtId="38" fontId="2" fillId="0" borderId="1" xfId="0" applyNumberFormat="1" applyFont="1" applyFill="1" applyBorder="1" applyAlignment="1" applyProtection="1">
      <alignment horizontal="center" vertical="center"/>
    </xf>
    <xf numFmtId="38" fontId="7" fillId="0" borderId="1" xfId="0" quotePrefix="1" applyNumberFormat="1" applyFont="1" applyFill="1" applyBorder="1" applyAlignment="1" applyProtection="1">
      <alignment horizontal="left" vertical="center"/>
    </xf>
    <xf numFmtId="38" fontId="3" fillId="0" borderId="1" xfId="0" applyNumberFormat="1" applyFont="1" applyFill="1" applyBorder="1" applyAlignment="1" applyProtection="1">
      <alignment horizontal="left" vertical="center"/>
    </xf>
    <xf numFmtId="38" fontId="8" fillId="0" borderId="1" xfId="0" applyNumberFormat="1" applyFont="1" applyFill="1" applyBorder="1" applyAlignment="1" applyProtection="1">
      <alignment horizontal="left" vertical="center"/>
    </xf>
    <xf numFmtId="38" fontId="3" fillId="0" borderId="1" xfId="0" quotePrefix="1" applyNumberFormat="1" applyFont="1" applyFill="1" applyBorder="1" applyAlignment="1" applyProtection="1">
      <alignment horizontal="left" vertical="center"/>
    </xf>
    <xf numFmtId="38" fontId="3" fillId="0" borderId="1" xfId="0" quotePrefix="1" applyNumberFormat="1" applyFont="1" applyFill="1" applyBorder="1" applyAlignment="1" applyProtection="1">
      <alignment horizontal="center" vertical="center"/>
    </xf>
    <xf numFmtId="38" fontId="3" fillId="0" borderId="1" xfId="0" applyNumberFormat="1" applyFont="1" applyFill="1" applyBorder="1" applyAlignment="1" applyProtection="1">
      <alignment vertical="center"/>
    </xf>
    <xf numFmtId="38" fontId="3" fillId="0" borderId="1" xfId="0" quotePrefix="1" applyNumberFormat="1" applyFont="1" applyFill="1" applyBorder="1" applyAlignment="1">
      <alignment horizontal="center" vertical="center"/>
    </xf>
    <xf numFmtId="38" fontId="7" fillId="0" borderId="1" xfId="0" applyNumberFormat="1" applyFont="1" applyFill="1" applyBorder="1" applyAlignment="1">
      <alignment vertical="center"/>
    </xf>
    <xf numFmtId="38" fontId="6" fillId="0" borderId="1" xfId="0" applyNumberFormat="1" applyFont="1" applyFill="1" applyBorder="1" applyAlignment="1" applyProtection="1">
      <alignment horizontal="center" vertical="center"/>
    </xf>
    <xf numFmtId="38" fontId="4" fillId="0" borderId="1" xfId="0" applyNumberFormat="1" applyFont="1" applyFill="1" applyBorder="1" applyAlignment="1" applyProtection="1">
      <alignment horizontal="left" vertical="center"/>
    </xf>
    <xf numFmtId="38" fontId="7" fillId="0" borderId="0" xfId="0" applyNumberFormat="1" applyFont="1" applyFill="1" applyBorder="1"/>
    <xf numFmtId="38" fontId="2" fillId="0" borderId="0" xfId="0" applyNumberFormat="1" applyFont="1" applyFill="1" applyBorder="1"/>
    <xf numFmtId="38" fontId="2" fillId="0" borderId="0" xfId="0" applyNumberFormat="1" applyFont="1" applyFill="1" applyBorder="1" applyAlignment="1">
      <alignment horizontal="center"/>
    </xf>
    <xf numFmtId="38" fontId="2" fillId="0" borderId="0" xfId="1" applyNumberFormat="1" applyFont="1" applyFill="1" applyBorder="1"/>
    <xf numFmtId="38" fontId="3" fillId="0" borderId="0" xfId="0" applyNumberFormat="1" applyFont="1" applyFill="1" applyBorder="1" applyAlignment="1">
      <alignment horizontal="center" vertical="center"/>
    </xf>
    <xf numFmtId="38" fontId="3" fillId="0" borderId="0" xfId="0" applyNumberFormat="1" applyFont="1" applyFill="1" applyBorder="1" applyAlignment="1">
      <alignment vertical="center"/>
    </xf>
    <xf numFmtId="38" fontId="7" fillId="0" borderId="0" xfId="0" applyNumberFormat="1" applyFont="1" applyFill="1" applyBorder="1" applyAlignment="1" applyProtection="1">
      <alignment horizontal="left" vertical="center"/>
    </xf>
    <xf numFmtId="38" fontId="6" fillId="0" borderId="0" xfId="0" applyNumberFormat="1" applyFont="1" applyFill="1" applyBorder="1" applyAlignment="1">
      <alignment horizontal="center" vertical="center"/>
    </xf>
    <xf numFmtId="38" fontId="3" fillId="2" borderId="0" xfId="0" applyNumberFormat="1" applyFont="1" applyFill="1" applyBorder="1" applyAlignment="1">
      <alignment vertical="center"/>
    </xf>
    <xf numFmtId="38" fontId="10" fillId="0" borderId="0" xfId="0" applyNumberFormat="1" applyFont="1" applyFill="1" applyBorder="1" applyAlignment="1">
      <alignment horizontal="centerContinuous"/>
    </xf>
    <xf numFmtId="38" fontId="11" fillId="2" borderId="0" xfId="0" applyNumberFormat="1" applyFont="1" applyFill="1" applyBorder="1" applyAlignment="1">
      <alignment horizontal="centerContinuous"/>
    </xf>
    <xf numFmtId="38" fontId="7" fillId="3" borderId="1" xfId="0" applyNumberFormat="1" applyFont="1" applyFill="1" applyBorder="1" applyAlignment="1" applyProtection="1">
      <alignment horizontal="left" vertical="center"/>
    </xf>
    <xf numFmtId="38" fontId="2" fillId="3" borderId="1" xfId="0" applyNumberFormat="1" applyFont="1" applyFill="1" applyBorder="1" applyAlignment="1" applyProtection="1">
      <alignment horizontal="left" vertical="center"/>
    </xf>
    <xf numFmtId="38" fontId="2" fillId="3" borderId="1" xfId="0" applyNumberFormat="1" applyFont="1" applyFill="1" applyBorder="1" applyAlignment="1" applyProtection="1">
      <alignment horizontal="center" vertical="center"/>
    </xf>
    <xf numFmtId="38" fontId="2" fillId="3" borderId="1" xfId="0" applyNumberFormat="1" applyFont="1" applyFill="1" applyBorder="1" applyAlignment="1">
      <alignment vertical="center"/>
    </xf>
    <xf numFmtId="38" fontId="2" fillId="3" borderId="1" xfId="0" applyNumberFormat="1" applyFont="1" applyFill="1" applyBorder="1" applyAlignment="1" applyProtection="1">
      <alignment vertical="center"/>
    </xf>
    <xf numFmtId="38" fontId="2" fillId="3" borderId="1" xfId="1" applyNumberFormat="1" applyFont="1" applyFill="1" applyBorder="1" applyAlignment="1" applyProtection="1">
      <alignment vertical="center"/>
    </xf>
    <xf numFmtId="38" fontId="2" fillId="3" borderId="1" xfId="1" applyNumberFormat="1" applyFont="1" applyFill="1" applyBorder="1" applyAlignment="1">
      <alignment vertical="center"/>
    </xf>
    <xf numFmtId="38" fontId="3" fillId="3" borderId="1" xfId="1" applyNumberFormat="1" applyFont="1" applyFill="1" applyBorder="1" applyAlignment="1">
      <alignment vertical="center"/>
    </xf>
    <xf numFmtId="38" fontId="5" fillId="2" borderId="1" xfId="0" applyNumberFormat="1" applyFont="1" applyFill="1" applyBorder="1" applyAlignment="1" applyProtection="1">
      <alignment horizontal="left" vertical="center"/>
    </xf>
    <xf numFmtId="38" fontId="5" fillId="2" borderId="1" xfId="0" quotePrefix="1" applyNumberFormat="1" applyFont="1" applyFill="1" applyBorder="1" applyAlignment="1" applyProtection="1">
      <alignment horizontal="left" vertical="center"/>
    </xf>
    <xf numFmtId="38" fontId="3" fillId="3" borderId="1" xfId="0" applyNumberFormat="1" applyFont="1" applyFill="1" applyBorder="1" applyAlignment="1" applyProtection="1">
      <alignment horizontal="left" vertical="center"/>
    </xf>
    <xf numFmtId="38" fontId="9" fillId="2" borderId="1" xfId="0" applyNumberFormat="1" applyFont="1" applyFill="1" applyBorder="1" applyAlignment="1">
      <alignment vertical="center"/>
    </xf>
    <xf numFmtId="38" fontId="9" fillId="2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/>
    <xf numFmtId="38" fontId="2" fillId="2" borderId="0" xfId="0" applyNumberFormat="1" applyFont="1" applyFill="1" applyBorder="1"/>
    <xf numFmtId="38" fontId="2" fillId="2" borderId="0" xfId="0" applyNumberFormat="1" applyFont="1" applyFill="1" applyBorder="1" applyAlignment="1">
      <alignment vertical="center"/>
    </xf>
    <xf numFmtId="0" fontId="2" fillId="2" borderId="0" xfId="0" applyFont="1" applyFill="1"/>
    <xf numFmtId="38" fontId="9" fillId="2" borderId="0" xfId="0" applyNumberFormat="1" applyFont="1" applyFill="1" applyBorder="1" applyAlignment="1">
      <alignment horizontal="center"/>
    </xf>
    <xf numFmtId="38" fontId="2" fillId="0" borderId="2" xfId="0" applyNumberFormat="1" applyFont="1" applyFill="1" applyBorder="1" applyAlignment="1">
      <alignment vertical="center"/>
    </xf>
    <xf numFmtId="38" fontId="2" fillId="0" borderId="2" xfId="0" applyNumberFormat="1" applyFont="1" applyFill="1" applyBorder="1" applyAlignment="1" applyProtection="1">
      <alignment vertical="center"/>
    </xf>
    <xf numFmtId="38" fontId="2" fillId="0" borderId="2" xfId="1" applyNumberFormat="1" applyFont="1" applyFill="1" applyBorder="1" applyAlignment="1" applyProtection="1">
      <alignment vertical="center"/>
    </xf>
    <xf numFmtId="38" fontId="2" fillId="0" borderId="2" xfId="1" applyNumberFormat="1" applyFont="1" applyFill="1" applyBorder="1" applyAlignment="1">
      <alignment vertical="center"/>
    </xf>
    <xf numFmtId="38" fontId="3" fillId="0" borderId="3" xfId="0" applyNumberFormat="1" applyFont="1" applyFill="1" applyBorder="1" applyAlignment="1" applyProtection="1">
      <alignment horizontal="center" vertical="center"/>
    </xf>
    <xf numFmtId="38" fontId="3" fillId="0" borderId="3" xfId="1" applyNumberFormat="1" applyFont="1" applyFill="1" applyBorder="1" applyAlignment="1">
      <alignment horizontal="center" vertical="center"/>
    </xf>
    <xf numFmtId="38" fontId="2" fillId="2" borderId="4" xfId="0" applyNumberFormat="1" applyFont="1" applyFill="1" applyBorder="1"/>
    <xf numFmtId="38" fontId="14" fillId="2" borderId="0" xfId="0" applyNumberFormat="1" applyFont="1" applyFill="1" applyBorder="1" applyAlignment="1">
      <alignment horizontal="centerContinuous"/>
    </xf>
    <xf numFmtId="38" fontId="2" fillId="0" borderId="3" xfId="0" applyNumberFormat="1" applyFont="1" applyFill="1" applyBorder="1" applyAlignment="1">
      <alignment vertical="center"/>
    </xf>
    <xf numFmtId="38" fontId="6" fillId="3" borderId="4" xfId="1" applyNumberFormat="1" applyFont="1" applyFill="1" applyBorder="1" applyAlignment="1" applyProtection="1">
      <alignment horizontal="center" vertical="center"/>
    </xf>
    <xf numFmtId="38" fontId="6" fillId="3" borderId="4" xfId="0" applyNumberFormat="1" applyFont="1" applyFill="1" applyBorder="1" applyAlignment="1">
      <alignment horizontal="centerContinuous"/>
    </xf>
    <xf numFmtId="38" fontId="2" fillId="0" borderId="5" xfId="0" applyNumberFormat="1" applyFont="1" applyFill="1" applyBorder="1" applyAlignment="1">
      <alignment vertical="center"/>
    </xf>
    <xf numFmtId="38" fontId="6" fillId="3" borderId="6" xfId="0" applyNumberFormat="1" applyFont="1" applyFill="1" applyBorder="1" applyAlignment="1">
      <alignment horizontal="center" vertical="center"/>
    </xf>
    <xf numFmtId="38" fontId="2" fillId="0" borderId="7" xfId="0" applyNumberFormat="1" applyFont="1" applyFill="1" applyBorder="1" applyAlignment="1">
      <alignment vertical="center"/>
    </xf>
    <xf numFmtId="38" fontId="3" fillId="3" borderId="1" xfId="0" applyNumberFormat="1" applyFont="1" applyFill="1" applyBorder="1" applyAlignment="1">
      <alignment vertical="center"/>
    </xf>
    <xf numFmtId="38" fontId="3" fillId="3" borderId="8" xfId="0" applyNumberFormat="1" applyFont="1" applyFill="1" applyBorder="1" applyAlignment="1">
      <alignment horizontal="center" vertical="center"/>
    </xf>
    <xf numFmtId="38" fontId="6" fillId="3" borderId="4" xfId="0" applyNumberFormat="1" applyFont="1" applyFill="1" applyBorder="1" applyAlignment="1" applyProtection="1">
      <alignment horizontal="center"/>
      <protection locked="0"/>
    </xf>
    <xf numFmtId="38" fontId="6" fillId="3" borderId="4" xfId="1" applyNumberFormat="1" applyFont="1" applyFill="1" applyBorder="1" applyAlignment="1">
      <alignment horizontal="center"/>
    </xf>
    <xf numFmtId="38" fontId="2" fillId="0" borderId="9" xfId="0" applyNumberFormat="1" applyFont="1" applyFill="1" applyBorder="1" applyAlignment="1" applyProtection="1">
      <alignment horizontal="left" vertical="center"/>
    </xf>
    <xf numFmtId="38" fontId="2" fillId="0" borderId="9" xfId="0" applyNumberFormat="1" applyFont="1" applyFill="1" applyBorder="1" applyAlignment="1" applyProtection="1">
      <alignment horizontal="center" vertical="center"/>
    </xf>
    <xf numFmtId="38" fontId="2" fillId="2" borderId="10" xfId="0" applyNumberFormat="1" applyFont="1" applyFill="1" applyBorder="1" applyAlignment="1">
      <alignment vertical="center"/>
    </xf>
    <xf numFmtId="38" fontId="2" fillId="0" borderId="9" xfId="0" applyNumberFormat="1" applyFont="1" applyFill="1" applyBorder="1" applyAlignment="1">
      <alignment vertical="center"/>
    </xf>
    <xf numFmtId="38" fontId="2" fillId="0" borderId="9" xfId="0" applyNumberFormat="1" applyFont="1" applyFill="1" applyBorder="1" applyAlignment="1" applyProtection="1">
      <alignment vertical="center"/>
    </xf>
    <xf numFmtId="38" fontId="2" fillId="0" borderId="9" xfId="1" applyNumberFormat="1" applyFont="1" applyFill="1" applyBorder="1" applyAlignment="1">
      <alignment vertical="center"/>
    </xf>
    <xf numFmtId="38" fontId="9" fillId="2" borderId="2" xfId="0" applyNumberFormat="1" applyFont="1" applyFill="1" applyBorder="1" applyAlignment="1">
      <alignment vertical="center"/>
    </xf>
    <xf numFmtId="38" fontId="6" fillId="0" borderId="2" xfId="0" applyNumberFormat="1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 applyProtection="1">
      <alignment horizontal="right" vertical="center"/>
    </xf>
    <xf numFmtId="38" fontId="3" fillId="0" borderId="1" xfId="0" applyNumberFormat="1" applyFont="1" applyFill="1" applyBorder="1" applyAlignment="1">
      <alignment horizontal="right" vertical="center"/>
    </xf>
    <xf numFmtId="38" fontId="3" fillId="2" borderId="0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 applyAlignment="1">
      <alignment vertical="center"/>
    </xf>
    <xf numFmtId="38" fontId="3" fillId="3" borderId="1" xfId="0" applyNumberFormat="1" applyFont="1" applyFill="1" applyBorder="1" applyAlignment="1" applyProtection="1">
      <alignment horizontal="center" vertical="center"/>
    </xf>
    <xf numFmtId="38" fontId="3" fillId="3" borderId="0" xfId="0" applyNumberFormat="1" applyFont="1" applyFill="1" applyBorder="1" applyAlignment="1">
      <alignment vertical="center"/>
    </xf>
    <xf numFmtId="38" fontId="12" fillId="3" borderId="1" xfId="0" applyNumberFormat="1" applyFont="1" applyFill="1" applyBorder="1" applyAlignment="1" applyProtection="1">
      <alignment horizontal="left" vertical="center"/>
    </xf>
    <xf numFmtId="38" fontId="15" fillId="3" borderId="1" xfId="0" applyNumberFormat="1" applyFont="1" applyFill="1" applyBorder="1" applyAlignment="1" applyProtection="1">
      <alignment horizontal="left" vertical="center"/>
    </xf>
    <xf numFmtId="38" fontId="13" fillId="3" borderId="1" xfId="0" applyNumberFormat="1" applyFont="1" applyFill="1" applyBorder="1" applyAlignment="1" applyProtection="1">
      <alignment horizontal="left" vertical="center"/>
    </xf>
    <xf numFmtId="38" fontId="16" fillId="3" borderId="11" xfId="0" applyNumberFormat="1" applyFont="1" applyFill="1" applyBorder="1" applyAlignment="1">
      <alignment horizontal="centerContinuous"/>
    </xf>
    <xf numFmtId="38" fontId="16" fillId="3" borderId="12" xfId="0" applyNumberFormat="1" applyFont="1" applyFill="1" applyBorder="1" applyAlignment="1">
      <alignment horizontal="centerContinuous"/>
    </xf>
    <xf numFmtId="38" fontId="16" fillId="3" borderId="13" xfId="0" applyNumberFormat="1" applyFont="1" applyFill="1" applyBorder="1" applyAlignment="1">
      <alignment horizontal="centerContinuous"/>
    </xf>
    <xf numFmtId="0" fontId="16" fillId="3" borderId="14" xfId="0" applyFont="1" applyFill="1" applyBorder="1" applyAlignment="1">
      <alignment horizontal="centerContinuous"/>
    </xf>
    <xf numFmtId="0" fontId="16" fillId="3" borderId="15" xfId="0" applyFont="1" applyFill="1" applyBorder="1" applyAlignment="1">
      <alignment horizontal="centerContinuous"/>
    </xf>
    <xf numFmtId="0" fontId="16" fillId="3" borderId="16" xfId="0" applyFont="1" applyFill="1" applyBorder="1" applyAlignment="1">
      <alignment horizontal="centerContinuous"/>
    </xf>
    <xf numFmtId="0" fontId="2" fillId="0" borderId="0" xfId="0" applyFont="1"/>
    <xf numFmtId="38" fontId="2" fillId="0" borderId="17" xfId="0" applyNumberFormat="1" applyFont="1" applyFill="1" applyBorder="1" applyAlignment="1">
      <alignment vertical="center"/>
    </xf>
    <xf numFmtId="38" fontId="2" fillId="0" borderId="18" xfId="0" applyNumberFormat="1" applyFont="1" applyFill="1" applyBorder="1" applyAlignment="1" applyProtection="1">
      <alignment vertical="center"/>
    </xf>
    <xf numFmtId="38" fontId="2" fillId="0" borderId="19" xfId="0" applyNumberFormat="1" applyFont="1" applyFill="1" applyBorder="1" applyAlignment="1" applyProtection="1">
      <alignment vertical="center"/>
    </xf>
    <xf numFmtId="38" fontId="2" fillId="0" borderId="20" xfId="0" applyNumberFormat="1" applyFont="1" applyFill="1" applyBorder="1" applyAlignment="1" applyProtection="1">
      <alignment vertical="center"/>
    </xf>
    <xf numFmtId="38" fontId="3" fillId="0" borderId="19" xfId="0" applyNumberFormat="1" applyFont="1" applyFill="1" applyBorder="1" applyAlignment="1">
      <alignment vertical="center"/>
    </xf>
    <xf numFmtId="38" fontId="2" fillId="3" borderId="19" xfId="0" applyNumberFormat="1" applyFont="1" applyFill="1" applyBorder="1" applyAlignment="1" applyProtection="1">
      <alignment vertical="center"/>
    </xf>
    <xf numFmtId="38" fontId="2" fillId="0" borderId="19" xfId="0" applyNumberFormat="1" applyFont="1" applyFill="1" applyBorder="1" applyAlignment="1">
      <alignment vertical="center"/>
    </xf>
    <xf numFmtId="38" fontId="3" fillId="0" borderId="19" xfId="0" applyNumberFormat="1" applyFont="1" applyFill="1" applyBorder="1" applyAlignment="1" applyProtection="1">
      <alignment vertical="center"/>
    </xf>
    <xf numFmtId="38" fontId="2" fillId="0" borderId="18" xfId="0" applyNumberFormat="1" applyFont="1" applyFill="1" applyBorder="1" applyAlignment="1">
      <alignment vertical="center"/>
    </xf>
    <xf numFmtId="38" fontId="6" fillId="3" borderId="4" xfId="0" applyNumberFormat="1" applyFont="1" applyFill="1" applyBorder="1" applyAlignment="1" applyProtection="1">
      <alignment horizontal="center"/>
    </xf>
    <xf numFmtId="38" fontId="2" fillId="0" borderId="21" xfId="0" applyNumberFormat="1" applyFont="1" applyFill="1" applyBorder="1"/>
    <xf numFmtId="38" fontId="6" fillId="0" borderId="3" xfId="0" applyNumberFormat="1" applyFont="1" applyFill="1" applyBorder="1" applyAlignment="1" applyProtection="1">
      <alignment horizontal="center" vertical="center" wrapText="1"/>
    </xf>
    <xf numFmtId="38" fontId="6" fillId="3" borderId="22" xfId="0" applyNumberFormat="1" applyFont="1" applyFill="1" applyBorder="1" applyAlignment="1">
      <alignment horizontal="centerContinuous"/>
    </xf>
    <xf numFmtId="38" fontId="6" fillId="0" borderId="3" xfId="0" applyNumberFormat="1" applyFont="1" applyFill="1" applyBorder="1" applyAlignment="1">
      <alignment horizontal="center" vertical="center" wrapText="1"/>
    </xf>
    <xf numFmtId="38" fontId="6" fillId="0" borderId="3" xfId="1" applyNumberFormat="1" applyFont="1" applyFill="1" applyBorder="1" applyAlignment="1" applyProtection="1">
      <alignment horizontal="center" vertical="center" wrapText="1"/>
    </xf>
    <xf numFmtId="38" fontId="2" fillId="3" borderId="2" xfId="1" applyNumberFormat="1" applyFont="1" applyFill="1" applyBorder="1" applyAlignment="1" applyProtection="1">
      <alignment vertical="center"/>
    </xf>
    <xf numFmtId="38" fontId="3" fillId="0" borderId="2" xfId="1" applyNumberFormat="1" applyFont="1" applyFill="1" applyBorder="1" applyAlignment="1" applyProtection="1">
      <alignment vertical="center"/>
    </xf>
    <xf numFmtId="38" fontId="3" fillId="3" borderId="2" xfId="1" applyNumberFormat="1" applyFont="1" applyFill="1" applyBorder="1" applyAlignment="1" applyProtection="1">
      <alignment vertical="center"/>
    </xf>
    <xf numFmtId="38" fontId="3" fillId="4" borderId="1" xfId="0" applyNumberFormat="1" applyFont="1" applyFill="1" applyBorder="1" applyAlignment="1" applyProtection="1">
      <alignment horizontal="right" vertical="center"/>
    </xf>
    <xf numFmtId="38" fontId="3" fillId="4" borderId="1" xfId="0" applyNumberFormat="1" applyFont="1" applyFill="1" applyBorder="1" applyAlignment="1">
      <alignment horizontal="right" vertical="center"/>
    </xf>
    <xf numFmtId="38" fontId="2" fillId="3" borderId="17" xfId="0" applyNumberFormat="1" applyFont="1" applyFill="1" applyBorder="1" applyAlignment="1">
      <alignment vertical="center"/>
    </xf>
    <xf numFmtId="38" fontId="3" fillId="3" borderId="17" xfId="0" applyNumberFormat="1" applyFont="1" applyFill="1" applyBorder="1" applyAlignment="1">
      <alignment vertical="center"/>
    </xf>
    <xf numFmtId="38" fontId="3" fillId="0" borderId="17" xfId="0" applyNumberFormat="1" applyFont="1" applyFill="1" applyBorder="1" applyAlignment="1">
      <alignment vertical="center"/>
    </xf>
    <xf numFmtId="38" fontId="2" fillId="3" borderId="2" xfId="1" applyNumberFormat="1" applyFont="1" applyFill="1" applyBorder="1" applyAlignment="1">
      <alignment vertical="center"/>
    </xf>
    <xf numFmtId="38" fontId="3" fillId="0" borderId="2" xfId="1" applyNumberFormat="1" applyFont="1" applyFill="1" applyBorder="1" applyAlignment="1">
      <alignment vertical="center"/>
    </xf>
    <xf numFmtId="38" fontId="3" fillId="3" borderId="2" xfId="1" applyNumberFormat="1" applyFont="1" applyFill="1" applyBorder="1" applyAlignment="1">
      <alignment vertical="center"/>
    </xf>
    <xf numFmtId="38" fontId="3" fillId="2" borderId="1" xfId="0" applyNumberFormat="1" applyFont="1" applyFill="1" applyBorder="1" applyAlignment="1" applyProtection="1">
      <alignment horizontal="right" vertical="center"/>
    </xf>
    <xf numFmtId="38" fontId="5" fillId="2" borderId="1" xfId="0" applyNumberFormat="1" applyFont="1" applyFill="1" applyBorder="1" applyAlignment="1">
      <alignment horizontal="left" vertical="center"/>
    </xf>
    <xf numFmtId="38" fontId="6" fillId="0" borderId="0" xfId="0" applyNumberFormat="1" applyFont="1" applyFill="1" applyBorder="1" applyAlignment="1" applyProtection="1">
      <alignment horizontal="center" vertical="center" wrapText="1"/>
    </xf>
    <xf numFmtId="38" fontId="3" fillId="0" borderId="0" xfId="0" applyNumberFormat="1" applyFont="1" applyFill="1" applyBorder="1" applyAlignment="1" applyProtection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38" fontId="6" fillId="0" borderId="0" xfId="0" applyNumberFormat="1" applyFont="1" applyFill="1" applyBorder="1" applyAlignment="1">
      <alignment horizontal="center" vertical="center" wrapText="1"/>
    </xf>
    <xf numFmtId="38" fontId="6" fillId="0" borderId="0" xfId="1" applyNumberFormat="1" applyFont="1" applyFill="1" applyBorder="1" applyAlignment="1" applyProtection="1">
      <alignment horizontal="center" vertical="center" wrapText="1"/>
    </xf>
    <xf numFmtId="38" fontId="3" fillId="0" borderId="0" xfId="0" applyNumberFormat="1" applyFont="1" applyFill="1" applyBorder="1" applyAlignment="1" applyProtection="1">
      <alignment horizontal="right" vertical="center"/>
    </xf>
    <xf numFmtId="38" fontId="8" fillId="0" borderId="23" xfId="0" applyNumberFormat="1" applyFont="1" applyFill="1" applyBorder="1" applyAlignment="1" applyProtection="1">
      <alignment horizontal="left" vertical="center"/>
    </xf>
    <xf numFmtId="38" fontId="3" fillId="0" borderId="24" xfId="1" applyNumberFormat="1" applyFont="1" applyFill="1" applyBorder="1" applyAlignment="1" applyProtection="1">
      <alignment vertical="center"/>
    </xf>
    <xf numFmtId="38" fontId="3" fillId="0" borderId="0" xfId="0" applyNumberFormat="1" applyFont="1" applyFill="1" applyBorder="1" applyAlignment="1" applyProtection="1">
      <alignment horizontal="left" vertical="center"/>
    </xf>
    <xf numFmtId="38" fontId="3" fillId="0" borderId="0" xfId="1" applyNumberFormat="1" applyFont="1" applyFill="1" applyBorder="1" applyAlignment="1" applyProtection="1">
      <alignment vertical="center"/>
    </xf>
    <xf numFmtId="38" fontId="3" fillId="0" borderId="0" xfId="1" applyNumberFormat="1" applyFont="1" applyFill="1" applyBorder="1" applyAlignment="1">
      <alignment vertical="center"/>
    </xf>
    <xf numFmtId="38" fontId="10" fillId="0" borderId="0" xfId="0" applyNumberFormat="1" applyFont="1" applyFill="1" applyBorder="1" applyAlignment="1" applyProtection="1">
      <alignment horizontal="left" vertical="center"/>
    </xf>
    <xf numFmtId="38" fontId="8" fillId="0" borderId="25" xfId="0" applyNumberFormat="1" applyFont="1" applyFill="1" applyBorder="1" applyAlignment="1" applyProtection="1">
      <alignment horizontal="left" vertical="center"/>
    </xf>
    <xf numFmtId="38" fontId="3" fillId="0" borderId="25" xfId="0" applyNumberFormat="1" applyFont="1" applyFill="1" applyBorder="1" applyAlignment="1" applyProtection="1">
      <alignment horizontal="center" vertical="center"/>
    </xf>
    <xf numFmtId="38" fontId="8" fillId="0" borderId="2" xfId="0" applyNumberFormat="1" applyFont="1" applyFill="1" applyBorder="1" applyAlignment="1" applyProtection="1">
      <alignment horizontal="left" vertical="center"/>
    </xf>
    <xf numFmtId="38" fontId="8" fillId="0" borderId="17" xfId="0" applyNumberFormat="1" applyFont="1" applyFill="1" applyBorder="1" applyAlignment="1" applyProtection="1">
      <alignment horizontal="left" vertical="center"/>
    </xf>
    <xf numFmtId="38" fontId="8" fillId="0" borderId="0" xfId="0" applyNumberFormat="1" applyFont="1" applyFill="1" applyBorder="1" applyAlignment="1" applyProtection="1">
      <alignment horizontal="left" vertical="center"/>
    </xf>
    <xf numFmtId="38" fontId="3" fillId="0" borderId="25" xfId="0" applyNumberFormat="1" applyFont="1" applyFill="1" applyBorder="1" applyAlignment="1" applyProtection="1">
      <alignment horizontal="left" vertical="center"/>
    </xf>
    <xf numFmtId="38" fontId="3" fillId="0" borderId="25" xfId="0" applyNumberFormat="1" applyFont="1" applyFill="1" applyBorder="1" applyAlignment="1">
      <alignment vertical="center"/>
    </xf>
    <xf numFmtId="38" fontId="3" fillId="0" borderId="25" xfId="0" applyNumberFormat="1" applyFont="1" applyFill="1" applyBorder="1" applyAlignment="1" applyProtection="1">
      <alignment vertical="center"/>
    </xf>
    <xf numFmtId="38" fontId="2" fillId="0" borderId="24" xfId="1" applyNumberFormat="1" applyFont="1" applyFill="1" applyBorder="1" applyAlignment="1" applyProtection="1">
      <alignment vertical="center"/>
    </xf>
    <xf numFmtId="38" fontId="2" fillId="0" borderId="26" xfId="0" applyNumberFormat="1" applyFont="1" applyFill="1" applyBorder="1" applyAlignment="1">
      <alignment vertical="center"/>
    </xf>
    <xf numFmtId="38" fontId="3" fillId="0" borderId="27" xfId="0" applyNumberFormat="1" applyFont="1" applyFill="1" applyBorder="1" applyAlignment="1" applyProtection="1">
      <alignment vertical="center"/>
    </xf>
    <xf numFmtId="38" fontId="2" fillId="0" borderId="24" xfId="1" applyNumberFormat="1" applyFont="1" applyFill="1" applyBorder="1" applyAlignment="1">
      <alignment vertical="center"/>
    </xf>
    <xf numFmtId="38" fontId="3" fillId="0" borderId="25" xfId="1" applyNumberFormat="1" applyFont="1" applyFill="1" applyBorder="1" applyAlignment="1">
      <alignment vertical="center"/>
    </xf>
    <xf numFmtId="38" fontId="3" fillId="2" borderId="1" xfId="0" applyNumberFormat="1" applyFont="1" applyFill="1" applyBorder="1" applyAlignment="1">
      <alignment vertical="center"/>
    </xf>
    <xf numFmtId="38" fontId="3" fillId="0" borderId="1" xfId="1" applyNumberFormat="1" applyFont="1" applyFill="1" applyBorder="1" applyAlignment="1" applyProtection="1">
      <alignment vertical="center"/>
    </xf>
    <xf numFmtId="6" fontId="2" fillId="0" borderId="1" xfId="1" applyNumberFormat="1" applyFont="1" applyFill="1" applyBorder="1" applyAlignment="1">
      <alignment vertical="center"/>
    </xf>
    <xf numFmtId="6" fontId="2" fillId="0" borderId="9" xfId="1" applyNumberFormat="1" applyFont="1" applyFill="1" applyBorder="1" applyAlignment="1">
      <alignment vertical="center"/>
    </xf>
    <xf numFmtId="6" fontId="2" fillId="0" borderId="1" xfId="1" applyNumberFormat="1" applyFont="1" applyFill="1" applyBorder="1" applyAlignment="1" applyProtection="1">
      <alignment vertical="center"/>
      <protection locked="0"/>
    </xf>
    <xf numFmtId="38" fontId="18" fillId="0" borderId="0" xfId="0" quotePrefix="1" applyNumberFormat="1" applyFont="1" applyFill="1" applyBorder="1" applyAlignment="1" applyProtection="1">
      <alignment vertical="center"/>
    </xf>
    <xf numFmtId="38" fontId="19" fillId="2" borderId="0" xfId="0" applyNumberFormat="1" applyFont="1" applyFill="1" applyBorder="1"/>
    <xf numFmtId="38" fontId="9" fillId="2" borderId="0" xfId="0" applyNumberFormat="1" applyFont="1" applyFill="1" applyBorder="1"/>
    <xf numFmtId="38" fontId="20" fillId="2" borderId="0" xfId="0" applyNumberFormat="1" applyFont="1" applyFill="1" applyBorder="1" applyAlignment="1">
      <alignment horizontal="centerContinuous"/>
    </xf>
    <xf numFmtId="38" fontId="2" fillId="0" borderId="1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/>
    <xf numFmtId="4" fontId="2" fillId="0" borderId="0" xfId="0" applyNumberFormat="1" applyFont="1" applyFill="1" applyBorder="1" applyAlignment="1">
      <alignment vertical="center"/>
    </xf>
    <xf numFmtId="4" fontId="2" fillId="0" borderId="2" xfId="1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38" fontId="2" fillId="5" borderId="0" xfId="0" applyNumberFormat="1" applyFont="1" applyFill="1" applyBorder="1" applyAlignment="1">
      <alignment vertical="center"/>
    </xf>
    <xf numFmtId="38" fontId="6" fillId="3" borderId="4" xfId="1" applyNumberFormat="1" applyFont="1" applyFill="1" applyBorder="1" applyAlignment="1" applyProtection="1">
      <alignment horizontal="center" vertical="center" wrapText="1"/>
    </xf>
    <xf numFmtId="38" fontId="2" fillId="0" borderId="1" xfId="1" applyNumberFormat="1" applyFont="1" applyFill="1" applyBorder="1" applyAlignment="1" applyProtection="1">
      <alignment vertical="center"/>
      <protection locked="0"/>
    </xf>
    <xf numFmtId="38" fontId="10" fillId="0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4</xdr:col>
      <xdr:colOff>285750</xdr:colOff>
      <xdr:row>16</xdr:row>
      <xdr:rowOff>133350</xdr:rowOff>
    </xdr:to>
    <xdr:pic>
      <xdr:nvPicPr>
        <xdr:cNvPr id="106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"/>
          <a:ext cx="2724150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3</xdr:row>
      <xdr:rowOff>38100</xdr:rowOff>
    </xdr:from>
    <xdr:to>
      <xdr:col>12</xdr:col>
      <xdr:colOff>552450</xdr:colOff>
      <xdr:row>16</xdr:row>
      <xdr:rowOff>133350</xdr:rowOff>
    </xdr:to>
    <xdr:pic>
      <xdr:nvPicPr>
        <xdr:cNvPr id="106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628775"/>
          <a:ext cx="2724150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16</xdr:row>
      <xdr:rowOff>133350</xdr:rowOff>
    </xdr:from>
    <xdr:to>
      <xdr:col>8</xdr:col>
      <xdr:colOff>419100</xdr:colOff>
      <xdr:row>30</xdr:row>
      <xdr:rowOff>66675</xdr:rowOff>
    </xdr:to>
    <xdr:pic>
      <xdr:nvPicPr>
        <xdr:cNvPr id="106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829050"/>
          <a:ext cx="2724150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A4" zoomScale="50" workbookViewId="0">
      <selection activeCell="C39" sqref="C39"/>
    </sheetView>
  </sheetViews>
  <sheetFormatPr defaultColWidth="9.109375" defaultRowHeight="13.2"/>
  <cols>
    <col min="1" max="16384" width="9.109375" style="97"/>
  </cols>
  <sheetData>
    <row r="1" spans="1:13" s="28" customFormat="1" ht="62.25" customHeight="1">
      <c r="A1" s="91" t="s">
        <v>395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3"/>
    </row>
    <row r="2" spans="1:13" ht="50.4" thickBot="1">
      <c r="A2" s="94" t="s">
        <v>396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</sheetData>
  <sheetProtection algorithmName="SHA-512" hashValue="hBIIhy7Zg1aZAet6TfjXay2tQkU7R0zjDHeC+v+4rbaovHcTuuuZ9/cJ76dRgVqmKawEwLaFodDNOvLNXy5Wkw==" saltValue="mtntV5p0Y8LcxP1zkuDC2A==" spinCount="100000" sheet="1"/>
  <phoneticPr fontId="0" type="noConversion"/>
  <pageMargins left="0.92" right="0.75" top="0.63" bottom="0.65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569"/>
  <sheetViews>
    <sheetView showZeros="0" defaultGridColor="0" colorId="10" zoomScale="80" zoomScaleNormal="80" workbookViewId="0">
      <pane xSplit="6" ySplit="4" topLeftCell="M255" activePane="bottomRight" state="frozen"/>
      <selection pane="topRight" activeCell="G1" sqref="G1"/>
      <selection pane="bottomLeft" activeCell="A5" sqref="A5"/>
      <selection pane="bottomRight" activeCell="R291" sqref="R291"/>
    </sheetView>
  </sheetViews>
  <sheetFormatPr defaultColWidth="9.109375" defaultRowHeight="13.2"/>
  <cols>
    <col min="1" max="1" width="0.44140625" style="27" customWidth="1"/>
    <col min="2" max="2" width="0.109375" style="27" customWidth="1"/>
    <col min="3" max="3" width="8.6640625" style="27" hidden="1" customWidth="1"/>
    <col min="4" max="4" width="24.109375" style="28" customWidth="1"/>
    <col min="5" max="5" width="2.88671875" style="29" hidden="1" customWidth="1"/>
    <col min="6" max="6" width="0.6640625" style="54" customWidth="1"/>
    <col min="7" max="7" width="10.6640625" style="28" bestFit="1" customWidth="1"/>
    <col min="8" max="8" width="0.6640625" style="54" customWidth="1"/>
    <col min="9" max="10" width="9.6640625" style="28" bestFit="1" customWidth="1"/>
    <col min="11" max="11" width="8.88671875" style="30" customWidth="1"/>
    <col min="12" max="12" width="0.6640625" style="54" customWidth="1"/>
    <col min="13" max="14" width="10.6640625" style="28" bestFit="1" customWidth="1"/>
    <col min="15" max="15" width="9.6640625" style="30" bestFit="1" customWidth="1"/>
    <col min="16" max="16" width="0.6640625" style="54" customWidth="1"/>
    <col min="17" max="17" width="10.109375" style="28" customWidth="1"/>
    <col min="18" max="18" width="9.6640625" style="28" customWidth="1"/>
    <col min="19" max="19" width="9.109375" style="28"/>
    <col min="20" max="20" width="0.6640625" style="54" customWidth="1"/>
    <col min="21" max="21" width="11.88671875" style="28" customWidth="1"/>
    <col min="22" max="22" width="0.6640625" style="54" customWidth="1"/>
    <col min="23" max="23" width="10.6640625" style="30" bestFit="1" customWidth="1"/>
    <col min="24" max="24" width="0.6640625" style="54" customWidth="1"/>
    <col min="25" max="25" width="13.5546875" style="30" customWidth="1"/>
    <col min="26" max="26" width="11.33203125" style="30" customWidth="1"/>
    <col min="27" max="28" width="10.6640625" style="28" customWidth="1"/>
    <col min="29" max="29" width="9.109375" style="28"/>
    <col min="30" max="30" width="12.33203125" style="161" bestFit="1" customWidth="1"/>
    <col min="31" max="16384" width="9.109375" style="28"/>
  </cols>
  <sheetData>
    <row r="1" spans="1:30" ht="26.25" customHeight="1">
      <c r="B1" s="37"/>
      <c r="C1" s="37"/>
      <c r="D1" s="63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30" ht="11.25" customHeight="1" thickBot="1">
      <c r="F2" s="51"/>
      <c r="H2" s="51"/>
      <c r="L2" s="51"/>
      <c r="P2" s="51"/>
      <c r="Q2" s="108"/>
      <c r="R2" s="108"/>
      <c r="S2" s="108"/>
      <c r="T2" s="51"/>
      <c r="V2" s="51"/>
      <c r="X2" s="51"/>
    </row>
    <row r="3" spans="1:30" ht="15" customHeight="1">
      <c r="D3" s="71" t="s">
        <v>1</v>
      </c>
      <c r="E3" s="31" t="s">
        <v>2</v>
      </c>
      <c r="F3" s="62"/>
      <c r="G3" s="72" t="s">
        <v>3</v>
      </c>
      <c r="H3" s="62"/>
      <c r="I3" s="66" t="s">
        <v>4</v>
      </c>
      <c r="J3" s="66"/>
      <c r="K3" s="66"/>
      <c r="L3" s="62"/>
      <c r="M3" s="66" t="s">
        <v>5</v>
      </c>
      <c r="N3" s="66"/>
      <c r="O3" s="66"/>
      <c r="P3" s="62"/>
      <c r="Q3" s="110" t="s">
        <v>6</v>
      </c>
      <c r="R3" s="110"/>
      <c r="S3" s="110"/>
      <c r="T3" s="62"/>
      <c r="U3" s="107" t="s">
        <v>7</v>
      </c>
      <c r="V3" s="62"/>
      <c r="W3" s="73" t="s">
        <v>8</v>
      </c>
      <c r="X3" s="62"/>
      <c r="Y3" s="167" t="s">
        <v>9</v>
      </c>
      <c r="Z3" s="65" t="s">
        <v>10</v>
      </c>
      <c r="AA3" s="68" t="s">
        <v>11</v>
      </c>
    </row>
    <row r="4" spans="1:30" s="1" customFormat="1" ht="15.9" customHeight="1" thickBot="1">
      <c r="A4" s="33"/>
      <c r="B4" s="33"/>
      <c r="C4" s="33"/>
      <c r="D4" s="67"/>
      <c r="E4" s="34"/>
      <c r="F4" s="53"/>
      <c r="G4" s="109" t="s">
        <v>12</v>
      </c>
      <c r="H4" s="52"/>
      <c r="I4" s="60" t="s">
        <v>13</v>
      </c>
      <c r="J4" s="60" t="s">
        <v>12</v>
      </c>
      <c r="K4" s="61" t="s">
        <v>14</v>
      </c>
      <c r="L4" s="52"/>
      <c r="M4" s="60" t="s">
        <v>13</v>
      </c>
      <c r="N4" s="60" t="s">
        <v>15</v>
      </c>
      <c r="O4" s="61" t="s">
        <v>14</v>
      </c>
      <c r="P4" s="52"/>
      <c r="Q4" s="60" t="s">
        <v>13</v>
      </c>
      <c r="R4" s="60" t="s">
        <v>15</v>
      </c>
      <c r="S4" s="61" t="s">
        <v>14</v>
      </c>
      <c r="T4" s="52"/>
      <c r="U4" s="111" t="s">
        <v>12</v>
      </c>
      <c r="V4" s="52"/>
      <c r="W4" s="112" t="s">
        <v>16</v>
      </c>
      <c r="X4" s="53"/>
      <c r="Y4" s="64"/>
      <c r="Z4" s="64"/>
      <c r="AA4" s="69"/>
      <c r="AD4" s="162"/>
    </row>
    <row r="5" spans="1:30" s="1" customFormat="1" ht="12" customHeight="1">
      <c r="A5" s="33"/>
      <c r="B5" s="33"/>
      <c r="C5" s="33"/>
      <c r="D5" s="80" t="s">
        <v>428</v>
      </c>
      <c r="E5" s="34"/>
      <c r="F5" s="53"/>
      <c r="G5" s="126"/>
      <c r="H5" s="52"/>
      <c r="I5" s="127"/>
      <c r="J5" s="127"/>
      <c r="K5" s="128"/>
      <c r="L5" s="52"/>
      <c r="M5" s="127"/>
      <c r="N5" s="127"/>
      <c r="O5" s="128"/>
      <c r="P5" s="52"/>
      <c r="Q5" s="127"/>
      <c r="R5" s="127"/>
      <c r="S5" s="128"/>
      <c r="T5" s="52"/>
      <c r="U5" s="129"/>
      <c r="V5" s="52"/>
      <c r="W5" s="130"/>
      <c r="X5" s="53"/>
      <c r="AD5" s="162"/>
    </row>
    <row r="6" spans="1:30" s="1" customFormat="1" ht="12" customHeight="1">
      <c r="A6" s="6" t="s">
        <v>17</v>
      </c>
      <c r="B6" s="6" t="s">
        <v>18</v>
      </c>
      <c r="C6" s="6" t="s">
        <v>19</v>
      </c>
      <c r="D6" s="12" t="s">
        <v>20</v>
      </c>
      <c r="E6" s="13"/>
      <c r="F6" s="53"/>
      <c r="G6" s="56">
        <v>409107</v>
      </c>
      <c r="H6" s="53"/>
      <c r="I6" s="57">
        <v>18000</v>
      </c>
      <c r="J6" s="56">
        <v>18201</v>
      </c>
      <c r="K6" s="58">
        <f t="shared" ref="K6:K21" si="0">SUM(I6-J6)</f>
        <v>-201</v>
      </c>
      <c r="L6" s="53"/>
      <c r="M6" s="57">
        <v>107323</v>
      </c>
      <c r="N6" s="56">
        <v>107187</v>
      </c>
      <c r="O6" s="58">
        <f t="shared" ref="O6:O21" si="1">SUM(M6-N6)</f>
        <v>136</v>
      </c>
      <c r="P6" s="53"/>
      <c r="Q6" s="57">
        <v>113713</v>
      </c>
      <c r="R6" s="57">
        <v>109327</v>
      </c>
      <c r="S6" s="98">
        <f t="shared" ref="S6:S21" si="2">Q6-R6</f>
        <v>4386</v>
      </c>
      <c r="T6" s="53"/>
      <c r="U6" s="99"/>
      <c r="V6" s="53"/>
      <c r="W6" s="59">
        <f t="shared" ref="W6:W21" si="3">SUM(G6+J6+U6+N6+R6)</f>
        <v>643822</v>
      </c>
      <c r="X6" s="53"/>
      <c r="Y6" s="59">
        <v>169479.54</v>
      </c>
      <c r="Z6" s="59">
        <f t="shared" ref="Z6:Z21" si="4">SUM(Y6-W6)</f>
        <v>-474342.45999999996</v>
      </c>
      <c r="AA6" s="56">
        <v>122857</v>
      </c>
      <c r="AD6" s="162"/>
    </row>
    <row r="7" spans="1:30" s="1" customFormat="1" ht="12" customHeight="1">
      <c r="A7" s="6" t="s">
        <v>17</v>
      </c>
      <c r="B7" s="6" t="s">
        <v>18</v>
      </c>
      <c r="C7" s="6">
        <v>257</v>
      </c>
      <c r="D7" s="15" t="s">
        <v>21</v>
      </c>
      <c r="E7" s="13"/>
      <c r="F7" s="53"/>
      <c r="G7" s="2">
        <v>61282</v>
      </c>
      <c r="H7" s="53"/>
      <c r="I7" s="10">
        <v>15670</v>
      </c>
      <c r="J7" s="2">
        <v>15242</v>
      </c>
      <c r="K7" s="58">
        <f t="shared" si="0"/>
        <v>428</v>
      </c>
      <c r="L7" s="53"/>
      <c r="M7" s="10">
        <v>19096</v>
      </c>
      <c r="N7" s="2">
        <v>19942</v>
      </c>
      <c r="O7" s="58">
        <f t="shared" si="1"/>
        <v>-846</v>
      </c>
      <c r="P7" s="53"/>
      <c r="Q7" s="10"/>
      <c r="R7" s="10"/>
      <c r="S7" s="98">
        <f t="shared" si="2"/>
        <v>0</v>
      </c>
      <c r="T7" s="53"/>
      <c r="U7" s="100"/>
      <c r="V7" s="53"/>
      <c r="W7" s="59">
        <f t="shared" si="3"/>
        <v>96466</v>
      </c>
      <c r="X7" s="53"/>
      <c r="Y7" s="8"/>
      <c r="Z7" s="8">
        <f t="shared" si="4"/>
        <v>-96466</v>
      </c>
      <c r="AA7" s="2">
        <v>91254</v>
      </c>
      <c r="AD7" s="163"/>
    </row>
    <row r="8" spans="1:30" s="1" customFormat="1" ht="12" customHeight="1">
      <c r="A8" s="6" t="s">
        <v>17</v>
      </c>
      <c r="B8" s="6" t="s">
        <v>18</v>
      </c>
      <c r="C8" s="6" t="s">
        <v>22</v>
      </c>
      <c r="D8" s="15" t="s">
        <v>23</v>
      </c>
      <c r="E8" s="16"/>
      <c r="F8" s="53"/>
      <c r="G8" s="2">
        <v>430764</v>
      </c>
      <c r="H8" s="53"/>
      <c r="I8" s="10">
        <v>11785</v>
      </c>
      <c r="J8" s="2">
        <v>11729</v>
      </c>
      <c r="K8" s="58">
        <f t="shared" si="0"/>
        <v>56</v>
      </c>
      <c r="L8" s="53"/>
      <c r="M8" s="10">
        <v>91900</v>
      </c>
      <c r="N8" s="2">
        <v>92040</v>
      </c>
      <c r="O8" s="58">
        <f t="shared" si="1"/>
        <v>-140</v>
      </c>
      <c r="P8" s="53"/>
      <c r="Q8" s="10"/>
      <c r="R8" s="10"/>
      <c r="S8" s="98">
        <f t="shared" si="2"/>
        <v>0</v>
      </c>
      <c r="T8" s="53"/>
      <c r="U8" s="100"/>
      <c r="V8" s="53"/>
      <c r="W8" s="59">
        <f t="shared" si="3"/>
        <v>534533</v>
      </c>
      <c r="X8" s="53"/>
      <c r="Y8" s="8">
        <v>256335.56</v>
      </c>
      <c r="Z8" s="8">
        <f t="shared" si="4"/>
        <v>-278197.44</v>
      </c>
      <c r="AA8" s="2">
        <v>153061</v>
      </c>
      <c r="AD8" s="162"/>
    </row>
    <row r="9" spans="1:30" s="1" customFormat="1" ht="12" customHeight="1">
      <c r="A9" s="6" t="s">
        <v>17</v>
      </c>
      <c r="B9" s="6" t="s">
        <v>18</v>
      </c>
      <c r="C9" s="6" t="s">
        <v>24</v>
      </c>
      <c r="D9" s="15" t="s">
        <v>25</v>
      </c>
      <c r="E9" s="16"/>
      <c r="F9" s="53"/>
      <c r="G9" s="2">
        <v>2675</v>
      </c>
      <c r="H9" s="53"/>
      <c r="I9" s="10"/>
      <c r="J9" s="2"/>
      <c r="K9" s="58">
        <f t="shared" si="0"/>
        <v>0</v>
      </c>
      <c r="L9" s="53"/>
      <c r="M9" s="10">
        <v>18885</v>
      </c>
      <c r="N9" s="2">
        <v>18424</v>
      </c>
      <c r="O9" s="58">
        <f t="shared" si="1"/>
        <v>461</v>
      </c>
      <c r="P9" s="53"/>
      <c r="Q9" s="10">
        <v>25000</v>
      </c>
      <c r="R9" s="10">
        <v>23372</v>
      </c>
      <c r="S9" s="98">
        <f t="shared" si="2"/>
        <v>1628</v>
      </c>
      <c r="T9" s="53"/>
      <c r="U9" s="100"/>
      <c r="V9" s="53"/>
      <c r="W9" s="59">
        <f t="shared" si="3"/>
        <v>44471</v>
      </c>
      <c r="X9" s="53"/>
      <c r="Y9" s="8"/>
      <c r="Z9" s="8">
        <f t="shared" si="4"/>
        <v>-44471</v>
      </c>
      <c r="AA9" s="2">
        <v>25351</v>
      </c>
      <c r="AD9" s="162"/>
    </row>
    <row r="10" spans="1:30" s="1" customFormat="1" ht="12" customHeight="1">
      <c r="A10" s="6" t="s">
        <v>17</v>
      </c>
      <c r="B10" s="6" t="s">
        <v>18</v>
      </c>
      <c r="C10" s="6" t="s">
        <v>26</v>
      </c>
      <c r="D10" s="15" t="s">
        <v>27</v>
      </c>
      <c r="E10" s="16"/>
      <c r="F10" s="53"/>
      <c r="G10" s="2">
        <v>137110</v>
      </c>
      <c r="H10" s="53"/>
      <c r="I10" s="10">
        <v>4750</v>
      </c>
      <c r="J10" s="2">
        <v>4663</v>
      </c>
      <c r="K10" s="58">
        <f t="shared" si="0"/>
        <v>87</v>
      </c>
      <c r="L10" s="53">
        <v>29692</v>
      </c>
      <c r="M10" s="10">
        <v>29692</v>
      </c>
      <c r="N10" s="2">
        <v>30503</v>
      </c>
      <c r="O10" s="58">
        <f t="shared" si="1"/>
        <v>-811</v>
      </c>
      <c r="P10" s="53"/>
      <c r="Q10" s="10">
        <v>0</v>
      </c>
      <c r="R10" s="10">
        <v>0</v>
      </c>
      <c r="S10" s="98">
        <f t="shared" si="2"/>
        <v>0</v>
      </c>
      <c r="T10" s="53"/>
      <c r="U10" s="100"/>
      <c r="V10" s="53"/>
      <c r="W10" s="59">
        <f t="shared" si="3"/>
        <v>172276</v>
      </c>
      <c r="X10" s="53"/>
      <c r="Y10" s="8">
        <v>50371.19</v>
      </c>
      <c r="Z10" s="8">
        <f t="shared" si="4"/>
        <v>-121904.81</v>
      </c>
      <c r="AA10" s="2">
        <v>40780</v>
      </c>
      <c r="AD10" s="162"/>
    </row>
    <row r="11" spans="1:30" s="1" customFormat="1" ht="12" customHeight="1">
      <c r="A11" s="6" t="s">
        <v>17</v>
      </c>
      <c r="B11" s="6" t="s">
        <v>18</v>
      </c>
      <c r="C11" s="6" t="s">
        <v>28</v>
      </c>
      <c r="D11" s="15" t="s">
        <v>29</v>
      </c>
      <c r="E11" s="16"/>
      <c r="F11" s="53"/>
      <c r="G11" s="2">
        <v>28097</v>
      </c>
      <c r="H11" s="53"/>
      <c r="I11" s="10"/>
      <c r="J11" s="2"/>
      <c r="K11" s="58">
        <f t="shared" si="0"/>
        <v>0</v>
      </c>
      <c r="L11" s="53"/>
      <c r="M11" s="10">
        <v>7000</v>
      </c>
      <c r="N11" s="2">
        <v>6713</v>
      </c>
      <c r="O11" s="58">
        <f t="shared" si="1"/>
        <v>287</v>
      </c>
      <c r="P11" s="53"/>
      <c r="Q11" s="10">
        <v>11143</v>
      </c>
      <c r="R11" s="10">
        <v>11142</v>
      </c>
      <c r="S11" s="98">
        <f t="shared" si="2"/>
        <v>1</v>
      </c>
      <c r="T11" s="53"/>
      <c r="U11" s="100"/>
      <c r="V11" s="53"/>
      <c r="W11" s="59">
        <f t="shared" si="3"/>
        <v>45952</v>
      </c>
      <c r="X11" s="53"/>
      <c r="Y11" s="8">
        <v>1113.49</v>
      </c>
      <c r="Z11" s="8">
        <f t="shared" si="4"/>
        <v>-44838.51</v>
      </c>
      <c r="AA11" s="2">
        <v>2156</v>
      </c>
      <c r="AD11" s="162"/>
    </row>
    <row r="12" spans="1:30" s="1" customFormat="1" ht="12" customHeight="1">
      <c r="A12" s="6" t="s">
        <v>17</v>
      </c>
      <c r="B12" s="6" t="s">
        <v>18</v>
      </c>
      <c r="C12" s="6" t="s">
        <v>30</v>
      </c>
      <c r="D12" s="15" t="s">
        <v>31</v>
      </c>
      <c r="E12" s="16"/>
      <c r="F12" s="53"/>
      <c r="G12" s="2"/>
      <c r="H12" s="53"/>
      <c r="I12" s="10"/>
      <c r="J12" s="2"/>
      <c r="K12" s="58">
        <f t="shared" si="0"/>
        <v>0</v>
      </c>
      <c r="L12" s="53"/>
      <c r="M12" s="10">
        <v>31</v>
      </c>
      <c r="N12" s="2">
        <v>31</v>
      </c>
      <c r="O12" s="58">
        <f t="shared" si="1"/>
        <v>0</v>
      </c>
      <c r="P12" s="53"/>
      <c r="Q12" s="10"/>
      <c r="R12" s="10"/>
      <c r="S12" s="98">
        <f t="shared" si="2"/>
        <v>0</v>
      </c>
      <c r="T12" s="53"/>
      <c r="U12" s="100"/>
      <c r="V12" s="53"/>
      <c r="W12" s="59">
        <f t="shared" si="3"/>
        <v>31</v>
      </c>
      <c r="X12" s="53"/>
      <c r="Y12" s="8"/>
      <c r="Z12" s="8">
        <f t="shared" si="4"/>
        <v>-31</v>
      </c>
      <c r="AA12" s="2"/>
      <c r="AD12" s="162"/>
    </row>
    <row r="13" spans="1:30" s="1" customFormat="1" ht="12" customHeight="1">
      <c r="A13" s="6" t="s">
        <v>17</v>
      </c>
      <c r="B13" s="6" t="s">
        <v>18</v>
      </c>
      <c r="C13" s="6" t="s">
        <v>32</v>
      </c>
      <c r="D13" s="15" t="s">
        <v>33</v>
      </c>
      <c r="E13" s="16"/>
      <c r="F13" s="53"/>
      <c r="G13" s="2">
        <v>141461</v>
      </c>
      <c r="H13" s="53"/>
      <c r="I13" s="10">
        <v>6815</v>
      </c>
      <c r="J13" s="2">
        <v>6791</v>
      </c>
      <c r="K13" s="58">
        <f t="shared" si="0"/>
        <v>24</v>
      </c>
      <c r="L13" s="53"/>
      <c r="M13" s="10">
        <v>32255</v>
      </c>
      <c r="N13" s="2">
        <v>32588</v>
      </c>
      <c r="O13" s="58">
        <f t="shared" si="1"/>
        <v>-333</v>
      </c>
      <c r="P13" s="53"/>
      <c r="Q13" s="10">
        <v>5225</v>
      </c>
      <c r="R13" s="10">
        <v>4975</v>
      </c>
      <c r="S13" s="98">
        <f t="shared" si="2"/>
        <v>250</v>
      </c>
      <c r="T13" s="53"/>
      <c r="U13" s="100">
        <v>824</v>
      </c>
      <c r="V13" s="53"/>
      <c r="W13" s="59">
        <f t="shared" si="3"/>
        <v>186639</v>
      </c>
      <c r="X13" s="53"/>
      <c r="Y13" s="8">
        <v>63519.03</v>
      </c>
      <c r="Z13" s="8">
        <f t="shared" si="4"/>
        <v>-123119.97</v>
      </c>
      <c r="AA13" s="2">
        <v>32715</v>
      </c>
      <c r="AD13" s="162"/>
    </row>
    <row r="14" spans="1:30" s="1" customFormat="1" ht="12" customHeight="1">
      <c r="A14" s="6" t="s">
        <v>17</v>
      </c>
      <c r="B14" s="6" t="s">
        <v>18</v>
      </c>
      <c r="C14" s="6" t="s">
        <v>34</v>
      </c>
      <c r="D14" s="15" t="s">
        <v>35</v>
      </c>
      <c r="E14" s="16"/>
      <c r="F14" s="53"/>
      <c r="G14" s="2">
        <v>450443</v>
      </c>
      <c r="H14" s="53"/>
      <c r="I14" s="10">
        <v>38250</v>
      </c>
      <c r="J14" s="2">
        <v>35731</v>
      </c>
      <c r="K14" s="58">
        <f t="shared" si="0"/>
        <v>2519</v>
      </c>
      <c r="L14" s="53"/>
      <c r="M14" s="10">
        <v>98956</v>
      </c>
      <c r="N14" s="2">
        <v>96097</v>
      </c>
      <c r="O14" s="58">
        <f t="shared" si="1"/>
        <v>2859</v>
      </c>
      <c r="P14" s="53"/>
      <c r="Q14" s="10">
        <v>19330</v>
      </c>
      <c r="R14" s="10">
        <v>19332</v>
      </c>
      <c r="S14" s="98">
        <f t="shared" si="2"/>
        <v>-2</v>
      </c>
      <c r="T14" s="53"/>
      <c r="U14" s="100">
        <v>55567</v>
      </c>
      <c r="V14" s="53"/>
      <c r="W14" s="59">
        <f t="shared" si="3"/>
        <v>657170</v>
      </c>
      <c r="X14" s="53"/>
      <c r="Y14" s="8">
        <v>473477.27</v>
      </c>
      <c r="Z14" s="8">
        <f t="shared" si="4"/>
        <v>-183692.72999999998</v>
      </c>
      <c r="AA14" s="2">
        <v>93267</v>
      </c>
      <c r="AD14" s="162"/>
    </row>
    <row r="15" spans="1:30" s="1" customFormat="1" ht="12" customHeight="1">
      <c r="A15" s="6" t="s">
        <v>17</v>
      </c>
      <c r="B15" s="6" t="s">
        <v>18</v>
      </c>
      <c r="C15" s="6" t="s">
        <v>36</v>
      </c>
      <c r="D15" s="15" t="s">
        <v>37</v>
      </c>
      <c r="E15" s="16"/>
      <c r="F15" s="53"/>
      <c r="G15" s="2">
        <v>33870</v>
      </c>
      <c r="H15" s="53"/>
      <c r="I15" s="10"/>
      <c r="J15" s="2"/>
      <c r="K15" s="58">
        <f t="shared" si="0"/>
        <v>0</v>
      </c>
      <c r="L15" s="53"/>
      <c r="M15" s="2">
        <v>6250</v>
      </c>
      <c r="N15" s="2">
        <v>6190</v>
      </c>
      <c r="O15" s="58">
        <f t="shared" si="1"/>
        <v>60</v>
      </c>
      <c r="P15" s="53"/>
      <c r="Q15" s="10"/>
      <c r="R15" s="10"/>
      <c r="S15" s="98">
        <f t="shared" si="2"/>
        <v>0</v>
      </c>
      <c r="T15" s="53"/>
      <c r="U15" s="100"/>
      <c r="V15" s="53"/>
      <c r="W15" s="59">
        <f t="shared" si="3"/>
        <v>40060</v>
      </c>
      <c r="X15" s="53"/>
      <c r="Y15" s="8">
        <v>2879</v>
      </c>
      <c r="Z15" s="8">
        <f t="shared" si="4"/>
        <v>-37181</v>
      </c>
      <c r="AA15" s="2">
        <v>3155</v>
      </c>
      <c r="AD15" s="162"/>
    </row>
    <row r="16" spans="1:30" s="1" customFormat="1" ht="12" customHeight="1">
      <c r="A16" s="6" t="s">
        <v>17</v>
      </c>
      <c r="B16" s="6" t="s">
        <v>18</v>
      </c>
      <c r="C16" s="6">
        <v>249</v>
      </c>
      <c r="D16" s="15" t="s">
        <v>38</v>
      </c>
      <c r="E16" s="16"/>
      <c r="F16" s="53"/>
      <c r="G16" s="2">
        <v>51963</v>
      </c>
      <c r="H16" s="53"/>
      <c r="I16" s="10">
        <v>5257</v>
      </c>
      <c r="J16" s="2">
        <v>5043</v>
      </c>
      <c r="K16" s="58">
        <f t="shared" si="0"/>
        <v>214</v>
      </c>
      <c r="L16" s="53"/>
      <c r="M16" s="10">
        <v>6000</v>
      </c>
      <c r="N16" s="2">
        <v>5499</v>
      </c>
      <c r="O16" s="58">
        <f t="shared" si="1"/>
        <v>501</v>
      </c>
      <c r="P16" s="53"/>
      <c r="Q16" s="10"/>
      <c r="R16" s="10"/>
      <c r="S16" s="98">
        <f t="shared" si="2"/>
        <v>0</v>
      </c>
      <c r="T16" s="53"/>
      <c r="U16" s="100"/>
      <c r="V16" s="53"/>
      <c r="W16" s="59">
        <f t="shared" si="3"/>
        <v>62505</v>
      </c>
      <c r="X16" s="53"/>
      <c r="Y16" s="8"/>
      <c r="Z16" s="8">
        <f t="shared" si="4"/>
        <v>-62505</v>
      </c>
      <c r="AA16" s="2"/>
      <c r="AD16" s="162"/>
    </row>
    <row r="17" spans="1:30" s="1" customFormat="1" ht="12" customHeight="1">
      <c r="A17" s="6" t="s">
        <v>17</v>
      </c>
      <c r="B17" s="6" t="s">
        <v>18</v>
      </c>
      <c r="C17" s="6" t="s">
        <v>39</v>
      </c>
      <c r="D17" s="15" t="s">
        <v>40</v>
      </c>
      <c r="E17" s="16"/>
      <c r="F17" s="53"/>
      <c r="G17" s="2">
        <v>118583</v>
      </c>
      <c r="H17" s="53"/>
      <c r="I17" s="10">
        <v>14564</v>
      </c>
      <c r="J17" s="2">
        <v>13926</v>
      </c>
      <c r="K17" s="58">
        <f t="shared" si="0"/>
        <v>638</v>
      </c>
      <c r="L17" s="53"/>
      <c r="M17" s="10">
        <v>32158</v>
      </c>
      <c r="N17" s="2">
        <v>32820</v>
      </c>
      <c r="O17" s="58">
        <f t="shared" si="1"/>
        <v>-662</v>
      </c>
      <c r="P17" s="53"/>
      <c r="Q17" s="10">
        <v>3500</v>
      </c>
      <c r="R17" s="10">
        <v>3200</v>
      </c>
      <c r="S17" s="98">
        <f t="shared" si="2"/>
        <v>300</v>
      </c>
      <c r="T17" s="53"/>
      <c r="U17" s="100">
        <v>1747</v>
      </c>
      <c r="V17" s="53"/>
      <c r="W17" s="59">
        <f t="shared" si="3"/>
        <v>170276</v>
      </c>
      <c r="X17" s="53"/>
      <c r="Y17" s="8">
        <v>63925.599999999999</v>
      </c>
      <c r="Z17" s="8">
        <f t="shared" si="4"/>
        <v>-106350.39999999999</v>
      </c>
      <c r="AA17" s="2">
        <v>36128</v>
      </c>
      <c r="AD17" s="162"/>
    </row>
    <row r="18" spans="1:30" s="1" customFormat="1" ht="12" customHeight="1">
      <c r="A18" s="6" t="s">
        <v>17</v>
      </c>
      <c r="B18" s="6" t="s">
        <v>18</v>
      </c>
      <c r="C18" s="6">
        <v>260</v>
      </c>
      <c r="D18" s="15" t="s">
        <v>41</v>
      </c>
      <c r="E18" s="16"/>
      <c r="F18" s="53"/>
      <c r="G18" s="2"/>
      <c r="H18" s="53"/>
      <c r="I18" s="10">
        <v>11500</v>
      </c>
      <c r="J18" s="2">
        <v>10894</v>
      </c>
      <c r="K18" s="58">
        <f t="shared" si="0"/>
        <v>606</v>
      </c>
      <c r="L18" s="53"/>
      <c r="M18" s="10">
        <v>15415</v>
      </c>
      <c r="N18" s="2">
        <v>14876</v>
      </c>
      <c r="O18" s="58">
        <f t="shared" si="1"/>
        <v>539</v>
      </c>
      <c r="P18" s="53"/>
      <c r="Q18" s="10"/>
      <c r="R18" s="10"/>
      <c r="S18" s="98">
        <f t="shared" si="2"/>
        <v>0</v>
      </c>
      <c r="T18" s="53"/>
      <c r="U18" s="100"/>
      <c r="V18" s="53"/>
      <c r="W18" s="59">
        <f t="shared" si="3"/>
        <v>25770</v>
      </c>
      <c r="X18" s="53"/>
      <c r="Y18" s="8">
        <v>1911</v>
      </c>
      <c r="Z18" s="8">
        <f t="shared" si="4"/>
        <v>-23859</v>
      </c>
      <c r="AA18" s="2"/>
      <c r="AD18" s="162"/>
    </row>
    <row r="19" spans="1:30" s="1" customFormat="1" ht="12" customHeight="1">
      <c r="A19" s="6" t="s">
        <v>17</v>
      </c>
      <c r="B19" s="6" t="s">
        <v>18</v>
      </c>
      <c r="C19" s="6">
        <v>135</v>
      </c>
      <c r="D19" s="15" t="s">
        <v>42</v>
      </c>
      <c r="E19" s="16"/>
      <c r="F19" s="53"/>
      <c r="G19" s="2"/>
      <c r="H19" s="53"/>
      <c r="I19" s="10">
        <v>14367</v>
      </c>
      <c r="J19" s="2">
        <v>13603</v>
      </c>
      <c r="K19" s="58">
        <f t="shared" si="0"/>
        <v>764</v>
      </c>
      <c r="L19" s="53"/>
      <c r="M19" s="10">
        <v>7500</v>
      </c>
      <c r="N19" s="2">
        <v>6981</v>
      </c>
      <c r="O19" s="58">
        <f t="shared" si="1"/>
        <v>519</v>
      </c>
      <c r="P19" s="53"/>
      <c r="Q19" s="10"/>
      <c r="R19" s="10"/>
      <c r="S19" s="98">
        <f t="shared" si="2"/>
        <v>0</v>
      </c>
      <c r="T19" s="53"/>
      <c r="U19" s="100"/>
      <c r="V19" s="53"/>
      <c r="W19" s="59">
        <f t="shared" si="3"/>
        <v>20584</v>
      </c>
      <c r="X19" s="53"/>
      <c r="Y19" s="8">
        <v>22486.15</v>
      </c>
      <c r="Z19" s="8">
        <f t="shared" si="4"/>
        <v>1902.1500000000015</v>
      </c>
      <c r="AA19" s="2">
        <v>31978</v>
      </c>
      <c r="AD19" s="162"/>
    </row>
    <row r="20" spans="1:30" s="1" customFormat="1" ht="12" customHeight="1">
      <c r="A20" s="6" t="s">
        <v>17</v>
      </c>
      <c r="B20" s="6" t="s">
        <v>18</v>
      </c>
      <c r="C20" s="6" t="s">
        <v>43</v>
      </c>
      <c r="D20" s="15" t="s">
        <v>44</v>
      </c>
      <c r="E20" s="16"/>
      <c r="F20" s="53"/>
      <c r="G20" s="2">
        <v>37366</v>
      </c>
      <c r="H20" s="53"/>
      <c r="I20" s="10">
        <v>7498</v>
      </c>
      <c r="J20" s="2">
        <v>7481</v>
      </c>
      <c r="K20" s="58">
        <f t="shared" si="0"/>
        <v>17</v>
      </c>
      <c r="L20" s="53"/>
      <c r="M20" s="10">
        <v>10715</v>
      </c>
      <c r="N20" s="2">
        <v>10437</v>
      </c>
      <c r="O20" s="58">
        <f t="shared" si="1"/>
        <v>278</v>
      </c>
      <c r="P20" s="53"/>
      <c r="Q20" s="10">
        <v>2850</v>
      </c>
      <c r="R20" s="10">
        <v>3100</v>
      </c>
      <c r="S20" s="98">
        <f t="shared" si="2"/>
        <v>-250</v>
      </c>
      <c r="T20" s="53"/>
      <c r="U20" s="100"/>
      <c r="V20" s="53"/>
      <c r="W20" s="59">
        <f t="shared" si="3"/>
        <v>58384</v>
      </c>
      <c r="X20" s="53"/>
      <c r="Y20" s="8">
        <v>19258.650000000001</v>
      </c>
      <c r="Z20" s="8">
        <f t="shared" si="4"/>
        <v>-39125.35</v>
      </c>
      <c r="AA20" s="2">
        <v>36358</v>
      </c>
      <c r="AD20" s="162"/>
    </row>
    <row r="21" spans="1:30" s="1" customFormat="1" ht="12" customHeight="1">
      <c r="A21" s="6" t="s">
        <v>17</v>
      </c>
      <c r="B21" s="6" t="s">
        <v>18</v>
      </c>
      <c r="C21" s="6" t="s">
        <v>45</v>
      </c>
      <c r="D21" s="15" t="s">
        <v>46</v>
      </c>
      <c r="E21" s="16"/>
      <c r="F21" s="53"/>
      <c r="G21" s="2">
        <v>438415</v>
      </c>
      <c r="H21" s="53"/>
      <c r="I21" s="10">
        <v>35125</v>
      </c>
      <c r="J21" s="2">
        <v>34354</v>
      </c>
      <c r="K21" s="58">
        <f t="shared" si="0"/>
        <v>771</v>
      </c>
      <c r="L21" s="53"/>
      <c r="M21" s="10">
        <v>175100</v>
      </c>
      <c r="N21" s="2">
        <v>175269</v>
      </c>
      <c r="O21" s="58">
        <f t="shared" si="1"/>
        <v>-169</v>
      </c>
      <c r="P21" s="53"/>
      <c r="Q21" s="10">
        <v>101039</v>
      </c>
      <c r="R21" s="10">
        <v>99396</v>
      </c>
      <c r="S21" s="98">
        <f t="shared" si="2"/>
        <v>1643</v>
      </c>
      <c r="T21" s="53"/>
      <c r="U21" s="100"/>
      <c r="V21" s="53"/>
      <c r="W21" s="59">
        <f t="shared" si="3"/>
        <v>747434</v>
      </c>
      <c r="X21" s="53"/>
      <c r="Y21" s="8">
        <v>1450607.58</v>
      </c>
      <c r="Z21" s="8">
        <f t="shared" si="4"/>
        <v>703173.58000000007</v>
      </c>
      <c r="AA21" s="2">
        <v>604247</v>
      </c>
      <c r="AD21" s="162"/>
    </row>
    <row r="22" spans="1:30" s="1" customFormat="1" ht="12" customHeight="1">
      <c r="A22" s="6"/>
      <c r="B22" s="6"/>
      <c r="C22" s="6"/>
      <c r="D22" s="15" t="s">
        <v>429</v>
      </c>
      <c r="E22" s="16"/>
      <c r="F22" s="53"/>
      <c r="G22" s="2"/>
      <c r="H22" s="53"/>
      <c r="I22" s="10"/>
      <c r="J22" s="2"/>
      <c r="K22" s="58"/>
      <c r="L22" s="53"/>
      <c r="M22" s="10"/>
      <c r="N22" s="2"/>
      <c r="O22" s="58"/>
      <c r="P22" s="53"/>
      <c r="Q22" s="10"/>
      <c r="R22" s="10"/>
      <c r="S22" s="98"/>
      <c r="T22" s="53"/>
      <c r="U22" s="100"/>
      <c r="V22" s="53"/>
      <c r="W22" s="59"/>
      <c r="X22" s="53"/>
      <c r="Y22" s="8"/>
      <c r="Z22" s="8"/>
      <c r="AA22" s="2">
        <v>110593</v>
      </c>
      <c r="AD22" s="162"/>
    </row>
    <row r="23" spans="1:30" s="1" customFormat="1" ht="12" customHeight="1">
      <c r="A23" s="6" t="s">
        <v>17</v>
      </c>
      <c r="B23" s="6" t="s">
        <v>18</v>
      </c>
      <c r="C23" s="6" t="s">
        <v>47</v>
      </c>
      <c r="D23" s="15" t="s">
        <v>48</v>
      </c>
      <c r="E23" s="16"/>
      <c r="F23" s="53"/>
      <c r="G23" s="2">
        <v>367658</v>
      </c>
      <c r="H23" s="53"/>
      <c r="I23" s="10"/>
      <c r="J23" s="2"/>
      <c r="K23" s="58">
        <f t="shared" ref="K23:K37" si="5">SUM(I23-J23)</f>
        <v>0</v>
      </c>
      <c r="L23" s="53"/>
      <c r="M23" s="10">
        <v>128550</v>
      </c>
      <c r="N23" s="2">
        <v>129826</v>
      </c>
      <c r="O23" s="58">
        <f t="shared" ref="O23:O58" si="6">SUM(M23-N23)</f>
        <v>-1276</v>
      </c>
      <c r="P23" s="53"/>
      <c r="Q23" s="10">
        <v>30009</v>
      </c>
      <c r="R23" s="10">
        <v>30374</v>
      </c>
      <c r="S23" s="98">
        <f t="shared" ref="S23:S58" si="7">Q23-R23</f>
        <v>-365</v>
      </c>
      <c r="T23" s="53"/>
      <c r="U23" s="100"/>
      <c r="V23" s="53"/>
      <c r="W23" s="59">
        <f t="shared" ref="W23:W58" si="8">SUM(G23+J23+U23+N23+R23)</f>
        <v>527858</v>
      </c>
      <c r="X23" s="53"/>
      <c r="Y23" s="8">
        <v>443506.71</v>
      </c>
      <c r="Z23" s="8">
        <f t="shared" ref="Z23:Z37" si="9">SUM(Y23-W23)</f>
        <v>-84351.289999999979</v>
      </c>
      <c r="AA23" s="2">
        <v>220514</v>
      </c>
      <c r="AD23" s="162"/>
    </row>
    <row r="24" spans="1:30" s="1" customFormat="1" ht="12" customHeight="1">
      <c r="A24" s="6" t="s">
        <v>17</v>
      </c>
      <c r="B24" s="6" t="s">
        <v>18</v>
      </c>
      <c r="C24" s="6" t="s">
        <v>49</v>
      </c>
      <c r="D24" s="15" t="s">
        <v>50</v>
      </c>
      <c r="E24" s="16"/>
      <c r="F24" s="53"/>
      <c r="G24" s="2">
        <v>347720</v>
      </c>
      <c r="H24" s="53"/>
      <c r="I24" s="10">
        <v>36900</v>
      </c>
      <c r="J24" s="2">
        <v>43082</v>
      </c>
      <c r="K24" s="58">
        <f t="shared" si="5"/>
        <v>-6182</v>
      </c>
      <c r="L24" s="53"/>
      <c r="M24" s="10">
        <v>154925</v>
      </c>
      <c r="N24" s="2">
        <v>161203</v>
      </c>
      <c r="O24" s="58">
        <f t="shared" si="6"/>
        <v>-6278</v>
      </c>
      <c r="P24" s="53"/>
      <c r="Q24" s="10">
        <v>34924</v>
      </c>
      <c r="R24" s="10">
        <v>26616</v>
      </c>
      <c r="S24" s="98">
        <f t="shared" si="7"/>
        <v>8308</v>
      </c>
      <c r="T24" s="53"/>
      <c r="U24" s="100">
        <v>2992</v>
      </c>
      <c r="V24" s="53"/>
      <c r="W24" s="59">
        <f t="shared" si="8"/>
        <v>581613</v>
      </c>
      <c r="X24" s="53"/>
      <c r="Y24" s="8">
        <v>690183.25</v>
      </c>
      <c r="Z24" s="8">
        <f t="shared" si="9"/>
        <v>108570.25</v>
      </c>
      <c r="AA24" s="2">
        <v>173747</v>
      </c>
      <c r="AD24" s="162"/>
    </row>
    <row r="25" spans="1:30" s="1" customFormat="1" ht="12" customHeight="1">
      <c r="A25" s="6" t="s">
        <v>17</v>
      </c>
      <c r="B25" s="6" t="s">
        <v>18</v>
      </c>
      <c r="C25" s="6">
        <v>299</v>
      </c>
      <c r="D25" s="15" t="s">
        <v>51</v>
      </c>
      <c r="E25" s="16"/>
      <c r="F25" s="53"/>
      <c r="G25" s="2"/>
      <c r="H25" s="53"/>
      <c r="I25" s="10"/>
      <c r="J25" s="2"/>
      <c r="K25" s="58">
        <f t="shared" si="5"/>
        <v>0</v>
      </c>
      <c r="L25" s="53"/>
      <c r="M25" s="10">
        <v>6000</v>
      </c>
      <c r="N25" s="2">
        <v>5982</v>
      </c>
      <c r="O25" s="58">
        <f t="shared" si="6"/>
        <v>18</v>
      </c>
      <c r="P25" s="53"/>
      <c r="Q25" s="10"/>
      <c r="R25" s="10"/>
      <c r="S25" s="98">
        <f t="shared" si="7"/>
        <v>0</v>
      </c>
      <c r="T25" s="53"/>
      <c r="U25" s="100"/>
      <c r="V25" s="53"/>
      <c r="W25" s="59">
        <f t="shared" si="8"/>
        <v>5982</v>
      </c>
      <c r="X25" s="53"/>
      <c r="Y25" s="8"/>
      <c r="Z25" s="8">
        <f t="shared" si="9"/>
        <v>-5982</v>
      </c>
      <c r="AA25" s="2">
        <v>3130</v>
      </c>
      <c r="AD25" s="162"/>
    </row>
    <row r="26" spans="1:30" s="1" customFormat="1" ht="12" customHeight="1">
      <c r="A26" s="6" t="s">
        <v>17</v>
      </c>
      <c r="B26" s="6" t="s">
        <v>18</v>
      </c>
      <c r="C26" s="6" t="s">
        <v>52</v>
      </c>
      <c r="D26" s="15" t="s">
        <v>53</v>
      </c>
      <c r="E26" s="16"/>
      <c r="F26" s="53"/>
      <c r="G26" s="2">
        <v>138288</v>
      </c>
      <c r="H26" s="53"/>
      <c r="I26" s="10">
        <v>7500</v>
      </c>
      <c r="J26" s="2">
        <v>7066</v>
      </c>
      <c r="K26" s="58">
        <f t="shared" si="5"/>
        <v>434</v>
      </c>
      <c r="L26" s="53"/>
      <c r="M26" s="10">
        <v>27550</v>
      </c>
      <c r="N26" s="2">
        <v>28433</v>
      </c>
      <c r="O26" s="58">
        <f t="shared" si="6"/>
        <v>-883</v>
      </c>
      <c r="P26" s="53"/>
      <c r="Q26" s="10">
        <v>13419</v>
      </c>
      <c r="R26" s="10">
        <v>12780</v>
      </c>
      <c r="S26" s="98">
        <f t="shared" si="7"/>
        <v>639</v>
      </c>
      <c r="T26" s="53"/>
      <c r="U26" s="100"/>
      <c r="V26" s="53"/>
      <c r="W26" s="59">
        <f t="shared" si="8"/>
        <v>186567</v>
      </c>
      <c r="X26" s="53"/>
      <c r="Y26" s="8">
        <v>29890.42</v>
      </c>
      <c r="Z26" s="8">
        <f t="shared" si="9"/>
        <v>-156676.58000000002</v>
      </c>
      <c r="AA26" s="2">
        <v>19813</v>
      </c>
      <c r="AD26" s="162"/>
    </row>
    <row r="27" spans="1:30" s="1" customFormat="1" ht="12" customHeight="1">
      <c r="A27" s="6" t="s">
        <v>17</v>
      </c>
      <c r="B27" s="6" t="s">
        <v>18</v>
      </c>
      <c r="C27" s="6">
        <v>250</v>
      </c>
      <c r="D27" s="15" t="s">
        <v>54</v>
      </c>
      <c r="E27" s="16"/>
      <c r="F27" s="53"/>
      <c r="G27" s="2">
        <v>339496</v>
      </c>
      <c r="H27" s="53"/>
      <c r="I27" s="10">
        <v>105000</v>
      </c>
      <c r="J27" s="2">
        <v>104541</v>
      </c>
      <c r="K27" s="58">
        <f t="shared" si="5"/>
        <v>459</v>
      </c>
      <c r="L27" s="53"/>
      <c r="M27" s="10">
        <v>296345</v>
      </c>
      <c r="N27" s="2">
        <v>296262</v>
      </c>
      <c r="O27" s="58">
        <f t="shared" si="6"/>
        <v>83</v>
      </c>
      <c r="P27" s="53"/>
      <c r="Q27" s="10">
        <v>5830</v>
      </c>
      <c r="R27" s="10">
        <v>5451</v>
      </c>
      <c r="S27" s="98">
        <f t="shared" si="7"/>
        <v>379</v>
      </c>
      <c r="T27" s="53"/>
      <c r="U27" s="100">
        <v>21771</v>
      </c>
      <c r="V27" s="53"/>
      <c r="W27" s="59">
        <f t="shared" si="8"/>
        <v>767521</v>
      </c>
      <c r="X27" s="53"/>
      <c r="Y27" s="8">
        <v>1112641.6399999999</v>
      </c>
      <c r="Z27" s="8">
        <f t="shared" si="9"/>
        <v>345120.6399999999</v>
      </c>
      <c r="AA27" s="2">
        <v>120460</v>
      </c>
      <c r="AD27" s="162"/>
    </row>
    <row r="28" spans="1:30" s="1" customFormat="1" ht="12" customHeight="1">
      <c r="A28" s="6" t="s">
        <v>17</v>
      </c>
      <c r="B28" s="6" t="s">
        <v>18</v>
      </c>
      <c r="C28" s="6" t="s">
        <v>55</v>
      </c>
      <c r="D28" s="15" t="s">
        <v>56</v>
      </c>
      <c r="E28" s="16"/>
      <c r="F28" s="53"/>
      <c r="G28" s="2">
        <v>118556</v>
      </c>
      <c r="H28" s="53"/>
      <c r="I28" s="10">
        <v>8357</v>
      </c>
      <c r="J28" s="2">
        <v>8321</v>
      </c>
      <c r="K28" s="58">
        <f t="shared" si="5"/>
        <v>36</v>
      </c>
      <c r="L28" s="53"/>
      <c r="M28" s="10">
        <v>39125</v>
      </c>
      <c r="N28" s="2">
        <v>38873</v>
      </c>
      <c r="O28" s="58">
        <f t="shared" si="6"/>
        <v>252</v>
      </c>
      <c r="P28" s="53"/>
      <c r="Q28" s="10"/>
      <c r="R28" s="10"/>
      <c r="S28" s="98">
        <f t="shared" si="7"/>
        <v>0</v>
      </c>
      <c r="T28" s="53"/>
      <c r="U28" s="100">
        <v>4932</v>
      </c>
      <c r="V28" s="53"/>
      <c r="W28" s="59">
        <f t="shared" si="8"/>
        <v>170682</v>
      </c>
      <c r="X28" s="53"/>
      <c r="Y28" s="8">
        <v>44282.559999999998</v>
      </c>
      <c r="Z28" s="8">
        <f t="shared" si="9"/>
        <v>-126399.44</v>
      </c>
      <c r="AA28" s="2">
        <v>19386</v>
      </c>
      <c r="AD28" s="162"/>
    </row>
    <row r="29" spans="1:30" s="1" customFormat="1" ht="12" customHeight="1">
      <c r="A29" s="6" t="s">
        <v>17</v>
      </c>
      <c r="B29" s="6" t="s">
        <v>57</v>
      </c>
      <c r="C29" s="6" t="s">
        <v>58</v>
      </c>
      <c r="D29" s="12" t="s">
        <v>59</v>
      </c>
      <c r="E29" s="13"/>
      <c r="F29" s="53"/>
      <c r="G29" s="2">
        <v>621612</v>
      </c>
      <c r="H29" s="53"/>
      <c r="I29" s="10">
        <v>383500</v>
      </c>
      <c r="J29" s="2">
        <v>346749</v>
      </c>
      <c r="K29" s="58">
        <f t="shared" si="5"/>
        <v>36751</v>
      </c>
      <c r="L29" s="53"/>
      <c r="M29" s="10">
        <v>124946</v>
      </c>
      <c r="N29" s="2">
        <v>122744</v>
      </c>
      <c r="O29" s="58">
        <f t="shared" si="6"/>
        <v>2202</v>
      </c>
      <c r="P29" s="53"/>
      <c r="Q29" s="10">
        <v>5027</v>
      </c>
      <c r="R29" s="10">
        <v>4249</v>
      </c>
      <c r="S29" s="98">
        <f t="shared" si="7"/>
        <v>778</v>
      </c>
      <c r="T29" s="53"/>
      <c r="U29" s="100">
        <v>470719</v>
      </c>
      <c r="V29" s="53"/>
      <c r="W29" s="59">
        <f t="shared" si="8"/>
        <v>1566073</v>
      </c>
      <c r="X29" s="53"/>
      <c r="Y29" s="8">
        <v>1392682.51</v>
      </c>
      <c r="Z29" s="8">
        <f t="shared" si="9"/>
        <v>-173390.49</v>
      </c>
      <c r="AA29" s="2"/>
      <c r="AD29" s="162"/>
    </row>
    <row r="30" spans="1:30" s="1" customFormat="1" ht="12" customHeight="1">
      <c r="A30" s="6"/>
      <c r="B30" s="6"/>
      <c r="C30" s="6"/>
      <c r="D30" s="15" t="s">
        <v>60</v>
      </c>
      <c r="E30" s="13"/>
      <c r="F30" s="53"/>
      <c r="G30" s="2"/>
      <c r="H30" s="53"/>
      <c r="I30" s="10"/>
      <c r="J30" s="2">
        <v>18963</v>
      </c>
      <c r="K30" s="58">
        <f t="shared" si="5"/>
        <v>-18963</v>
      </c>
      <c r="L30" s="53"/>
      <c r="M30" s="10"/>
      <c r="N30" s="2"/>
      <c r="O30" s="58">
        <f t="shared" si="6"/>
        <v>0</v>
      </c>
      <c r="P30" s="53"/>
      <c r="Q30" s="10"/>
      <c r="R30" s="10"/>
      <c r="S30" s="98">
        <f t="shared" si="7"/>
        <v>0</v>
      </c>
      <c r="T30" s="53"/>
      <c r="U30" s="100"/>
      <c r="V30" s="53"/>
      <c r="W30" s="59">
        <f t="shared" si="8"/>
        <v>18963</v>
      </c>
      <c r="X30" s="53"/>
      <c r="Y30" s="8"/>
      <c r="Z30" s="8">
        <f t="shared" si="9"/>
        <v>-18963</v>
      </c>
      <c r="AA30" s="2"/>
      <c r="AD30" s="162"/>
    </row>
    <row r="31" spans="1:30" s="1" customFormat="1" ht="12" customHeight="1">
      <c r="A31" s="6"/>
      <c r="B31" s="6"/>
      <c r="C31" s="6"/>
      <c r="D31" s="15" t="s">
        <v>61</v>
      </c>
      <c r="E31" s="13"/>
      <c r="F31" s="53"/>
      <c r="G31" s="2"/>
      <c r="H31" s="53"/>
      <c r="I31" s="10"/>
      <c r="J31" s="2">
        <v>11649</v>
      </c>
      <c r="K31" s="58">
        <f t="shared" si="5"/>
        <v>-11649</v>
      </c>
      <c r="L31" s="53"/>
      <c r="M31" s="10"/>
      <c r="N31" s="2"/>
      <c r="O31" s="58">
        <f t="shared" si="6"/>
        <v>0</v>
      </c>
      <c r="P31" s="53"/>
      <c r="Q31" s="10"/>
      <c r="R31" s="10"/>
      <c r="S31" s="98">
        <f t="shared" si="7"/>
        <v>0</v>
      </c>
      <c r="T31" s="53"/>
      <c r="U31" s="100"/>
      <c r="V31" s="53"/>
      <c r="W31" s="59">
        <f t="shared" si="8"/>
        <v>11649</v>
      </c>
      <c r="X31" s="53"/>
      <c r="Y31" s="8"/>
      <c r="Z31" s="8">
        <f t="shared" si="9"/>
        <v>-11649</v>
      </c>
      <c r="AA31" s="2"/>
      <c r="AD31" s="162"/>
    </row>
    <row r="32" spans="1:30" s="1" customFormat="1" ht="12" customHeight="1">
      <c r="A32" s="6" t="s">
        <v>17</v>
      </c>
      <c r="B32" s="6" t="s">
        <v>57</v>
      </c>
      <c r="C32" s="6" t="s">
        <v>62</v>
      </c>
      <c r="D32" s="15" t="s">
        <v>63</v>
      </c>
      <c r="E32" s="16"/>
      <c r="F32" s="53"/>
      <c r="G32" s="2">
        <v>723280</v>
      </c>
      <c r="H32" s="53"/>
      <c r="I32" s="10">
        <v>20000</v>
      </c>
      <c r="J32" s="2">
        <v>17734</v>
      </c>
      <c r="K32" s="58">
        <f t="shared" si="5"/>
        <v>2266</v>
      </c>
      <c r="L32" s="53"/>
      <c r="M32" s="10">
        <v>241923</v>
      </c>
      <c r="N32" s="2">
        <v>241439</v>
      </c>
      <c r="O32" s="58">
        <f t="shared" si="6"/>
        <v>484</v>
      </c>
      <c r="P32" s="53"/>
      <c r="Q32" s="10">
        <v>62221</v>
      </c>
      <c r="R32" s="10">
        <v>61348</v>
      </c>
      <c r="S32" s="98">
        <f t="shared" si="7"/>
        <v>873</v>
      </c>
      <c r="T32" s="53"/>
      <c r="U32" s="100">
        <v>-526</v>
      </c>
      <c r="V32" s="53"/>
      <c r="W32" s="59">
        <f t="shared" si="8"/>
        <v>1043275</v>
      </c>
      <c r="X32" s="53"/>
      <c r="Y32" s="8">
        <v>442038.31</v>
      </c>
      <c r="Z32" s="8">
        <f t="shared" si="9"/>
        <v>-601236.68999999994</v>
      </c>
      <c r="AA32" s="2">
        <v>175162</v>
      </c>
      <c r="AD32" s="162"/>
    </row>
    <row r="33" spans="1:30" s="1" customFormat="1" ht="12" customHeight="1">
      <c r="A33" s="6" t="s">
        <v>17</v>
      </c>
      <c r="B33" s="6" t="s">
        <v>57</v>
      </c>
      <c r="C33" s="6" t="s">
        <v>64</v>
      </c>
      <c r="D33" s="74" t="s">
        <v>65</v>
      </c>
      <c r="E33" s="75"/>
      <c r="F33" s="76"/>
      <c r="G33" s="77">
        <v>41795</v>
      </c>
      <c r="H33" s="76"/>
      <c r="I33" s="78">
        <v>65472</v>
      </c>
      <c r="J33" s="77">
        <v>69451</v>
      </c>
      <c r="K33" s="58">
        <f t="shared" si="5"/>
        <v>-3979</v>
      </c>
      <c r="L33" s="76"/>
      <c r="M33" s="78">
        <v>10415</v>
      </c>
      <c r="N33" s="77">
        <v>9581</v>
      </c>
      <c r="O33" s="58">
        <f t="shared" si="6"/>
        <v>834</v>
      </c>
      <c r="P33" s="76"/>
      <c r="Q33" s="78">
        <v>292</v>
      </c>
      <c r="R33" s="78">
        <v>292</v>
      </c>
      <c r="S33" s="98">
        <f t="shared" si="7"/>
        <v>0</v>
      </c>
      <c r="T33" s="76"/>
      <c r="U33" s="101">
        <v>90570</v>
      </c>
      <c r="V33" s="76"/>
      <c r="W33" s="59">
        <f t="shared" si="8"/>
        <v>211689</v>
      </c>
      <c r="X33" s="76"/>
      <c r="Y33" s="79">
        <v>179146</v>
      </c>
      <c r="Z33" s="79">
        <f t="shared" si="9"/>
        <v>-32543</v>
      </c>
      <c r="AA33" s="77"/>
      <c r="AD33" s="162"/>
    </row>
    <row r="34" spans="1:30" s="1" customFormat="1" ht="12" customHeight="1">
      <c r="A34" s="6" t="s">
        <v>17</v>
      </c>
      <c r="B34" s="6" t="s">
        <v>66</v>
      </c>
      <c r="C34" s="6" t="s">
        <v>58</v>
      </c>
      <c r="D34" s="18" t="s">
        <v>415</v>
      </c>
      <c r="E34" s="16"/>
      <c r="F34" s="53"/>
      <c r="G34" s="2">
        <v>204365</v>
      </c>
      <c r="H34" s="53"/>
      <c r="I34" s="10"/>
      <c r="J34" s="2"/>
      <c r="K34" s="58">
        <f t="shared" si="5"/>
        <v>0</v>
      </c>
      <c r="L34" s="53"/>
      <c r="M34" s="10"/>
      <c r="N34" s="2">
        <v>11</v>
      </c>
      <c r="O34" s="58">
        <f t="shared" si="6"/>
        <v>-11</v>
      </c>
      <c r="P34" s="53"/>
      <c r="Q34" s="10"/>
      <c r="R34" s="10"/>
      <c r="S34" s="98">
        <f t="shared" si="7"/>
        <v>0</v>
      </c>
      <c r="T34" s="53"/>
      <c r="U34" s="100"/>
      <c r="V34" s="53"/>
      <c r="W34" s="59">
        <f t="shared" si="8"/>
        <v>204376</v>
      </c>
      <c r="X34" s="53"/>
      <c r="Y34" s="8"/>
      <c r="Z34" s="8">
        <f t="shared" si="9"/>
        <v>-204376</v>
      </c>
      <c r="AA34" s="2"/>
      <c r="AD34" s="162"/>
    </row>
    <row r="35" spans="1:30" s="1" customFormat="1" ht="12" customHeight="1">
      <c r="A35" s="6" t="s">
        <v>17</v>
      </c>
      <c r="B35" s="6" t="s">
        <v>66</v>
      </c>
      <c r="C35" s="6" t="s">
        <v>67</v>
      </c>
      <c r="D35" s="12" t="s">
        <v>68</v>
      </c>
      <c r="E35" s="13"/>
      <c r="F35" s="53"/>
      <c r="G35" s="2">
        <v>99327</v>
      </c>
      <c r="H35" s="53"/>
      <c r="I35" s="10">
        <v>8100</v>
      </c>
      <c r="J35" s="2">
        <v>8723</v>
      </c>
      <c r="K35" s="58">
        <f t="shared" si="5"/>
        <v>-623</v>
      </c>
      <c r="L35" s="53"/>
      <c r="M35" s="10">
        <v>45202</v>
      </c>
      <c r="N35" s="2">
        <v>46151</v>
      </c>
      <c r="O35" s="58">
        <f t="shared" si="6"/>
        <v>-949</v>
      </c>
      <c r="P35" s="53"/>
      <c r="Q35" s="10"/>
      <c r="R35" s="10"/>
      <c r="S35" s="98">
        <f t="shared" si="7"/>
        <v>0</v>
      </c>
      <c r="T35" s="53"/>
      <c r="U35" s="100"/>
      <c r="V35" s="53"/>
      <c r="W35" s="59">
        <f t="shared" si="8"/>
        <v>154201</v>
      </c>
      <c r="X35" s="53"/>
      <c r="Y35" s="8">
        <v>88927.39</v>
      </c>
      <c r="Z35" s="8">
        <f t="shared" si="9"/>
        <v>-65273.61</v>
      </c>
      <c r="AA35" s="2">
        <v>122944</v>
      </c>
      <c r="AD35" s="162"/>
    </row>
    <row r="36" spans="1:30" s="1" customFormat="1" ht="12" customHeight="1">
      <c r="A36" s="6" t="s">
        <v>17</v>
      </c>
      <c r="B36" s="6" t="s">
        <v>66</v>
      </c>
      <c r="C36" s="6" t="s">
        <v>69</v>
      </c>
      <c r="D36" s="12" t="s">
        <v>70</v>
      </c>
      <c r="E36" s="13"/>
      <c r="F36" s="53"/>
      <c r="G36" s="2">
        <v>83314</v>
      </c>
      <c r="H36" s="53"/>
      <c r="I36" s="10">
        <v>65400</v>
      </c>
      <c r="J36" s="2">
        <v>65595</v>
      </c>
      <c r="K36" s="58">
        <f t="shared" si="5"/>
        <v>-195</v>
      </c>
      <c r="L36" s="53"/>
      <c r="M36" s="10">
        <v>128892</v>
      </c>
      <c r="N36" s="2">
        <v>128892</v>
      </c>
      <c r="O36" s="58">
        <f t="shared" si="6"/>
        <v>0</v>
      </c>
      <c r="P36" s="53"/>
      <c r="Q36" s="2"/>
      <c r="R36" s="2"/>
      <c r="S36" s="98">
        <f t="shared" si="7"/>
        <v>0</v>
      </c>
      <c r="T36" s="53"/>
      <c r="U36" s="100"/>
      <c r="V36" s="53"/>
      <c r="W36" s="59">
        <f t="shared" si="8"/>
        <v>277801</v>
      </c>
      <c r="X36" s="53"/>
      <c r="Y36" s="8">
        <v>393329.28</v>
      </c>
      <c r="Z36" s="8">
        <f t="shared" si="9"/>
        <v>115528.28000000003</v>
      </c>
      <c r="AA36" s="2">
        <v>200762</v>
      </c>
      <c r="AD36" s="162"/>
    </row>
    <row r="37" spans="1:30" s="1" customFormat="1" ht="12" customHeight="1">
      <c r="A37" s="6" t="s">
        <v>17</v>
      </c>
      <c r="B37" s="6" t="s">
        <v>66</v>
      </c>
      <c r="C37" s="6">
        <v>256</v>
      </c>
      <c r="D37" s="15" t="s">
        <v>71</v>
      </c>
      <c r="E37" s="13"/>
      <c r="F37" s="53"/>
      <c r="G37" s="2"/>
      <c r="H37" s="53"/>
      <c r="I37" s="10">
        <v>29600</v>
      </c>
      <c r="J37" s="2">
        <v>30995</v>
      </c>
      <c r="K37" s="58">
        <f t="shared" si="5"/>
        <v>-1395</v>
      </c>
      <c r="L37" s="53"/>
      <c r="M37" s="10">
        <v>25676</v>
      </c>
      <c r="N37" s="2">
        <v>26084</v>
      </c>
      <c r="O37" s="58">
        <f t="shared" si="6"/>
        <v>-408</v>
      </c>
      <c r="P37" s="53"/>
      <c r="Q37" s="2">
        <v>1200</v>
      </c>
      <c r="R37" s="2">
        <f>SUM(R34:R36)</f>
        <v>0</v>
      </c>
      <c r="S37" s="98">
        <f t="shared" si="7"/>
        <v>1200</v>
      </c>
      <c r="T37" s="53"/>
      <c r="U37" s="100"/>
      <c r="V37" s="53"/>
      <c r="W37" s="59">
        <f t="shared" si="8"/>
        <v>57079</v>
      </c>
      <c r="X37" s="53"/>
      <c r="Y37" s="8">
        <v>136268.67000000001</v>
      </c>
      <c r="Z37" s="8">
        <f t="shared" si="9"/>
        <v>79189.670000000013</v>
      </c>
      <c r="AA37" s="2">
        <v>86483</v>
      </c>
      <c r="AD37" s="162"/>
    </row>
    <row r="38" spans="1:30" s="32" customFormat="1" ht="14.1" customHeight="1">
      <c r="A38" s="19"/>
      <c r="B38" s="19"/>
      <c r="C38" s="19"/>
      <c r="D38" s="46" t="s">
        <v>416</v>
      </c>
      <c r="E38" s="4">
        <f>SUM(E34:E37)</f>
        <v>0</v>
      </c>
      <c r="F38" s="35"/>
      <c r="G38" s="5">
        <f>SUM(G34:G37)</f>
        <v>387006</v>
      </c>
      <c r="H38" s="35"/>
      <c r="I38" s="5">
        <f>SUM(I34:I37)</f>
        <v>103100</v>
      </c>
      <c r="J38" s="5">
        <f>SUM(J34:J37)</f>
        <v>105313</v>
      </c>
      <c r="K38" s="5">
        <f>SUM(K34:K37)</f>
        <v>-2213</v>
      </c>
      <c r="L38" s="35"/>
      <c r="M38" s="5">
        <f>SUM(M34:M37)</f>
        <v>199770</v>
      </c>
      <c r="N38" s="5">
        <f>SUM(N34:N37)</f>
        <v>201138</v>
      </c>
      <c r="O38" s="114">
        <f t="shared" si="6"/>
        <v>-1368</v>
      </c>
      <c r="P38" s="35"/>
      <c r="Q38" s="5">
        <f>SUM(Q34:Q37)</f>
        <v>1200</v>
      </c>
      <c r="R38" s="5">
        <f>SUM(R34:R37)</f>
        <v>0</v>
      </c>
      <c r="S38" s="120">
        <f t="shared" si="7"/>
        <v>1200</v>
      </c>
      <c r="T38" s="35"/>
      <c r="U38" s="5">
        <f>SUM(U34:U37)</f>
        <v>0</v>
      </c>
      <c r="V38" s="35"/>
      <c r="W38" s="122">
        <f t="shared" si="8"/>
        <v>693457</v>
      </c>
      <c r="X38" s="35"/>
      <c r="Y38" s="5">
        <f>SUM(Y34:Y37)</f>
        <v>618525.34000000008</v>
      </c>
      <c r="Z38" s="5">
        <f>SUM(Z34:Z37)</f>
        <v>-74931.659999999945</v>
      </c>
      <c r="AA38" s="5">
        <f>SUM(AA34:AA37)</f>
        <v>410189</v>
      </c>
      <c r="AD38" s="164"/>
    </row>
    <row r="39" spans="1:30" s="1" customFormat="1" ht="12" customHeight="1">
      <c r="A39" s="6" t="s">
        <v>17</v>
      </c>
      <c r="B39" s="6">
        <v>16</v>
      </c>
      <c r="C39" s="6" t="s">
        <v>58</v>
      </c>
      <c r="D39" s="18" t="s">
        <v>419</v>
      </c>
      <c r="E39" s="16"/>
      <c r="F39" s="53"/>
      <c r="G39" s="2">
        <v>133940</v>
      </c>
      <c r="H39" s="53"/>
      <c r="I39" s="2"/>
      <c r="J39" s="2"/>
      <c r="K39" s="58">
        <f>SUM(I39-J39)</f>
        <v>0</v>
      </c>
      <c r="L39" s="53"/>
      <c r="M39" s="2"/>
      <c r="N39" s="2"/>
      <c r="O39" s="58">
        <f t="shared" si="6"/>
        <v>0</v>
      </c>
      <c r="P39" s="53"/>
      <c r="Q39" s="2"/>
      <c r="R39" s="2"/>
      <c r="S39" s="98">
        <f t="shared" si="7"/>
        <v>0</v>
      </c>
      <c r="T39" s="53"/>
      <c r="U39" s="104"/>
      <c r="V39" s="53"/>
      <c r="W39" s="59">
        <f t="shared" si="8"/>
        <v>133940</v>
      </c>
      <c r="X39" s="53"/>
      <c r="Y39" s="8"/>
      <c r="Z39" s="8">
        <f>SUM(Y39-W39)</f>
        <v>-133940</v>
      </c>
      <c r="AA39" s="2"/>
      <c r="AD39" s="162"/>
    </row>
    <row r="40" spans="1:30" s="1" customFormat="1" ht="12" customHeight="1">
      <c r="A40" s="6" t="s">
        <v>17</v>
      </c>
      <c r="B40" s="6">
        <v>16</v>
      </c>
      <c r="C40" s="6">
        <v>247</v>
      </c>
      <c r="D40" s="15" t="s">
        <v>72</v>
      </c>
      <c r="E40" s="16"/>
      <c r="F40" s="53"/>
      <c r="G40" s="2">
        <v>84239</v>
      </c>
      <c r="H40" s="53"/>
      <c r="I40" s="2">
        <v>10000</v>
      </c>
      <c r="J40" s="2">
        <v>9785</v>
      </c>
      <c r="K40" s="58">
        <f>SUM(I40-J40)</f>
        <v>215</v>
      </c>
      <c r="L40" s="53"/>
      <c r="M40" s="10">
        <v>58915</v>
      </c>
      <c r="N40" s="10">
        <v>57909</v>
      </c>
      <c r="O40" s="58">
        <f t="shared" si="6"/>
        <v>1006</v>
      </c>
      <c r="P40" s="53"/>
      <c r="Q40" s="10"/>
      <c r="R40" s="10"/>
      <c r="S40" s="98">
        <f t="shared" si="7"/>
        <v>0</v>
      </c>
      <c r="T40" s="53"/>
      <c r="U40" s="100"/>
      <c r="V40" s="53"/>
      <c r="W40" s="59">
        <f t="shared" si="8"/>
        <v>151933</v>
      </c>
      <c r="X40" s="53"/>
      <c r="Y40" s="8">
        <v>712.99</v>
      </c>
      <c r="Z40" s="8">
        <f>SUM(Y40-W40)</f>
        <v>-151220.01</v>
      </c>
      <c r="AA40" s="2">
        <v>8146</v>
      </c>
      <c r="AD40" s="162"/>
    </row>
    <row r="41" spans="1:30" s="1" customFormat="1" ht="12" customHeight="1">
      <c r="A41" s="6" t="s">
        <v>17</v>
      </c>
      <c r="B41" s="6">
        <v>16</v>
      </c>
      <c r="C41" s="6">
        <v>248</v>
      </c>
      <c r="D41" s="15" t="s">
        <v>73</v>
      </c>
      <c r="E41" s="16"/>
      <c r="F41" s="53"/>
      <c r="G41" s="2">
        <v>29717</v>
      </c>
      <c r="H41" s="53"/>
      <c r="I41" s="10"/>
      <c r="J41" s="2"/>
      <c r="K41" s="58">
        <f>SUM(I41-J41)</f>
        <v>0</v>
      </c>
      <c r="L41" s="53"/>
      <c r="M41" s="10">
        <v>4118</v>
      </c>
      <c r="N41" s="2">
        <v>3555</v>
      </c>
      <c r="O41" s="58">
        <f t="shared" si="6"/>
        <v>563</v>
      </c>
      <c r="P41" s="53"/>
      <c r="Q41" s="10"/>
      <c r="R41" s="10"/>
      <c r="S41" s="98">
        <f t="shared" si="7"/>
        <v>0</v>
      </c>
      <c r="T41" s="53"/>
      <c r="U41" s="100"/>
      <c r="V41" s="53"/>
      <c r="W41" s="59">
        <f t="shared" si="8"/>
        <v>33272</v>
      </c>
      <c r="X41" s="53"/>
      <c r="Y41" s="8"/>
      <c r="Z41" s="8">
        <f>SUM(Y41-W41)</f>
        <v>-33272</v>
      </c>
      <c r="AA41" s="2">
        <v>6514</v>
      </c>
      <c r="AD41" s="162"/>
    </row>
    <row r="42" spans="1:30" s="1" customFormat="1" ht="12" customHeight="1">
      <c r="A42" s="6" t="s">
        <v>17</v>
      </c>
      <c r="B42" s="6">
        <v>16</v>
      </c>
      <c r="C42" s="6" t="s">
        <v>74</v>
      </c>
      <c r="D42" s="12" t="s">
        <v>75</v>
      </c>
      <c r="E42" s="13"/>
      <c r="F42" s="53"/>
      <c r="G42" s="2">
        <v>33030</v>
      </c>
      <c r="H42" s="53"/>
      <c r="I42" s="10">
        <v>30000</v>
      </c>
      <c r="J42" s="2">
        <v>26621</v>
      </c>
      <c r="K42" s="58">
        <f>SUM(I42-J42)</f>
        <v>3379</v>
      </c>
      <c r="L42" s="53"/>
      <c r="M42" s="10">
        <v>38800</v>
      </c>
      <c r="N42" s="2">
        <v>38321</v>
      </c>
      <c r="O42" s="58">
        <f t="shared" si="6"/>
        <v>479</v>
      </c>
      <c r="P42" s="53"/>
      <c r="Q42" s="10">
        <v>9000</v>
      </c>
      <c r="R42" s="10">
        <v>8137</v>
      </c>
      <c r="S42" s="98">
        <f t="shared" si="7"/>
        <v>863</v>
      </c>
      <c r="T42" s="53"/>
      <c r="U42" s="100"/>
      <c r="V42" s="53"/>
      <c r="W42" s="59">
        <f t="shared" si="8"/>
        <v>106109</v>
      </c>
      <c r="X42" s="53"/>
      <c r="Y42" s="8">
        <v>28189.82</v>
      </c>
      <c r="Z42" s="8">
        <f>SUM(Y42-W42)</f>
        <v>-77919.179999999993</v>
      </c>
      <c r="AA42" s="2">
        <v>25979</v>
      </c>
      <c r="AD42" s="162"/>
    </row>
    <row r="43" spans="1:30" s="1" customFormat="1" ht="12" customHeight="1">
      <c r="A43" s="6" t="s">
        <v>17</v>
      </c>
      <c r="B43" s="6">
        <v>16</v>
      </c>
      <c r="C43" s="6" t="s">
        <v>76</v>
      </c>
      <c r="D43" s="12" t="s">
        <v>77</v>
      </c>
      <c r="E43" s="13"/>
      <c r="F43" s="53"/>
      <c r="G43" s="2">
        <v>177625</v>
      </c>
      <c r="H43" s="53"/>
      <c r="I43" s="10">
        <v>25793</v>
      </c>
      <c r="J43" s="2">
        <v>24933</v>
      </c>
      <c r="K43" s="58">
        <f>SUM(I43-J43)</f>
        <v>860</v>
      </c>
      <c r="L43" s="53"/>
      <c r="M43" s="10">
        <v>137802</v>
      </c>
      <c r="N43" s="2">
        <v>136110</v>
      </c>
      <c r="O43" s="58">
        <f t="shared" si="6"/>
        <v>1692</v>
      </c>
      <c r="P43" s="53"/>
      <c r="Q43" s="10">
        <v>86462</v>
      </c>
      <c r="R43" s="10">
        <v>83187</v>
      </c>
      <c r="S43" s="98">
        <f t="shared" si="7"/>
        <v>3275</v>
      </c>
      <c r="T43" s="53"/>
      <c r="U43" s="100"/>
      <c r="V43" s="53"/>
      <c r="W43" s="59">
        <f t="shared" si="8"/>
        <v>421855</v>
      </c>
      <c r="X43" s="53"/>
      <c r="Y43" s="8">
        <v>824190.93</v>
      </c>
      <c r="Z43" s="8">
        <f>SUM(Y43-W43)</f>
        <v>402335.93000000005</v>
      </c>
      <c r="AA43" s="2">
        <v>90746</v>
      </c>
      <c r="AD43" s="162"/>
    </row>
    <row r="44" spans="1:30" s="32" customFormat="1" ht="14.1" customHeight="1">
      <c r="A44" s="19"/>
      <c r="B44" s="19"/>
      <c r="C44" s="19"/>
      <c r="D44" s="46" t="s">
        <v>420</v>
      </c>
      <c r="E44" s="4">
        <f>SUM(E39:E43)</f>
        <v>0</v>
      </c>
      <c r="F44" s="35"/>
      <c r="G44" s="5">
        <f>SUM(G39:G43)</f>
        <v>458551</v>
      </c>
      <c r="H44" s="35"/>
      <c r="I44" s="5">
        <f>SUM(I39:I43)</f>
        <v>65793</v>
      </c>
      <c r="J44" s="5">
        <f>SUM(J39:J43)</f>
        <v>61339</v>
      </c>
      <c r="K44" s="5">
        <f>SUM(K39:K43)</f>
        <v>4454</v>
      </c>
      <c r="L44" s="35"/>
      <c r="M44" s="5">
        <f>SUM(M39:M43)</f>
        <v>239635</v>
      </c>
      <c r="N44" s="5">
        <f>SUM(N39:N43)</f>
        <v>235895</v>
      </c>
      <c r="O44" s="114">
        <f t="shared" si="6"/>
        <v>3740</v>
      </c>
      <c r="P44" s="35"/>
      <c r="Q44" s="5">
        <f>SUM(Q39:Q43)</f>
        <v>95462</v>
      </c>
      <c r="R44" s="5">
        <f>SUM(R39:R43)</f>
        <v>91324</v>
      </c>
      <c r="S44" s="120">
        <f t="shared" si="7"/>
        <v>4138</v>
      </c>
      <c r="T44" s="35"/>
      <c r="U44" s="5">
        <f>SUM(U39:U43)</f>
        <v>0</v>
      </c>
      <c r="V44" s="35"/>
      <c r="W44" s="122">
        <f t="shared" si="8"/>
        <v>847109</v>
      </c>
      <c r="X44" s="35"/>
      <c r="Y44" s="5">
        <f>SUM(Y39:Y43)</f>
        <v>853093.74000000011</v>
      </c>
      <c r="Z44" s="5">
        <f>SUM(Z39:Z43)</f>
        <v>5984.7400000000489</v>
      </c>
      <c r="AA44" s="5">
        <f>SUM(AA39:AA43)</f>
        <v>131385</v>
      </c>
      <c r="AD44" s="164"/>
    </row>
    <row r="45" spans="1:30" s="1" customFormat="1" ht="15.9" customHeight="1">
      <c r="A45" s="6" t="s">
        <v>17</v>
      </c>
      <c r="B45" s="6" t="s">
        <v>78</v>
      </c>
      <c r="C45" s="6" t="s">
        <v>58</v>
      </c>
      <c r="D45" s="18" t="s">
        <v>417</v>
      </c>
      <c r="E45" s="16"/>
      <c r="F45" s="53"/>
      <c r="G45" s="2">
        <v>185991</v>
      </c>
      <c r="H45" s="53"/>
      <c r="I45" s="10"/>
      <c r="J45" s="2"/>
      <c r="K45" s="58">
        <f t="shared" ref="K45:K52" si="10">SUM(I45-J45)</f>
        <v>0</v>
      </c>
      <c r="L45" s="53"/>
      <c r="M45" s="10"/>
      <c r="N45" s="2">
        <v>324</v>
      </c>
      <c r="O45" s="58">
        <f t="shared" si="6"/>
        <v>-324</v>
      </c>
      <c r="P45" s="53"/>
      <c r="Q45" s="10"/>
      <c r="R45" s="10"/>
      <c r="S45" s="98">
        <f t="shared" si="7"/>
        <v>0</v>
      </c>
      <c r="T45" s="53"/>
      <c r="U45" s="100"/>
      <c r="V45" s="53"/>
      <c r="W45" s="59">
        <f t="shared" si="8"/>
        <v>186315</v>
      </c>
      <c r="X45" s="53"/>
      <c r="Y45" s="9"/>
      <c r="Z45" s="8">
        <f t="shared" ref="Z45:Z52" si="11">SUM(Y45-W45)</f>
        <v>-186315</v>
      </c>
      <c r="AA45" s="10"/>
      <c r="AD45" s="162"/>
    </row>
    <row r="46" spans="1:30" s="1" customFormat="1" ht="12" customHeight="1">
      <c r="A46" s="6" t="s">
        <v>17</v>
      </c>
      <c r="B46" s="6" t="s">
        <v>78</v>
      </c>
      <c r="C46" s="6" t="s">
        <v>79</v>
      </c>
      <c r="D46" s="12" t="s">
        <v>80</v>
      </c>
      <c r="E46" s="13"/>
      <c r="F46" s="53"/>
      <c r="G46" s="2"/>
      <c r="H46" s="53"/>
      <c r="I46" s="10"/>
      <c r="J46" s="2"/>
      <c r="K46" s="58">
        <f t="shared" si="10"/>
        <v>0</v>
      </c>
      <c r="L46" s="53"/>
      <c r="M46" s="10">
        <v>5000</v>
      </c>
      <c r="N46" s="2">
        <v>4569</v>
      </c>
      <c r="O46" s="58">
        <f t="shared" si="6"/>
        <v>431</v>
      </c>
      <c r="P46" s="53"/>
      <c r="Q46" s="10">
        <v>3050</v>
      </c>
      <c r="R46" s="10">
        <v>1575</v>
      </c>
      <c r="S46" s="98">
        <f t="shared" si="7"/>
        <v>1475</v>
      </c>
      <c r="T46" s="53"/>
      <c r="U46" s="100"/>
      <c r="V46" s="53"/>
      <c r="W46" s="59">
        <f t="shared" si="8"/>
        <v>6144</v>
      </c>
      <c r="X46" s="53"/>
      <c r="Y46" s="8">
        <v>18687.080000000002</v>
      </c>
      <c r="Z46" s="8">
        <f t="shared" si="11"/>
        <v>12543.080000000002</v>
      </c>
      <c r="AA46" s="2">
        <v>13222</v>
      </c>
      <c r="AD46" s="162"/>
    </row>
    <row r="47" spans="1:30" s="1" customFormat="1" ht="12" customHeight="1">
      <c r="A47" s="6" t="s">
        <v>17</v>
      </c>
      <c r="B47" s="6" t="s">
        <v>78</v>
      </c>
      <c r="C47" s="6" t="s">
        <v>81</v>
      </c>
      <c r="D47" s="12" t="s">
        <v>82</v>
      </c>
      <c r="E47" s="13"/>
      <c r="F47" s="53"/>
      <c r="G47" s="2"/>
      <c r="H47" s="53"/>
      <c r="I47" s="10"/>
      <c r="J47" s="2"/>
      <c r="K47" s="58">
        <f t="shared" si="10"/>
        <v>0</v>
      </c>
      <c r="L47" s="53"/>
      <c r="M47" s="10">
        <v>23600</v>
      </c>
      <c r="N47" s="2">
        <v>24007</v>
      </c>
      <c r="O47" s="58">
        <f t="shared" si="6"/>
        <v>-407</v>
      </c>
      <c r="P47" s="53"/>
      <c r="Q47" s="10"/>
      <c r="R47" s="10"/>
      <c r="S47" s="98">
        <f t="shared" si="7"/>
        <v>0</v>
      </c>
      <c r="T47" s="53"/>
      <c r="U47" s="100"/>
      <c r="V47" s="53"/>
      <c r="W47" s="59">
        <f t="shared" si="8"/>
        <v>24007</v>
      </c>
      <c r="X47" s="53"/>
      <c r="Y47" s="8">
        <v>218.53</v>
      </c>
      <c r="Z47" s="8">
        <f t="shared" si="11"/>
        <v>-23788.47</v>
      </c>
      <c r="AA47" s="2">
        <v>1728</v>
      </c>
      <c r="AD47" s="162"/>
    </row>
    <row r="48" spans="1:30" s="1" customFormat="1" ht="12" customHeight="1">
      <c r="A48" s="6" t="s">
        <v>17</v>
      </c>
      <c r="B48" s="6" t="s">
        <v>78</v>
      </c>
      <c r="C48" s="6" t="s">
        <v>83</v>
      </c>
      <c r="D48" s="12" t="s">
        <v>84</v>
      </c>
      <c r="E48" s="13"/>
      <c r="F48" s="53"/>
      <c r="G48" s="2">
        <v>55995</v>
      </c>
      <c r="H48" s="53"/>
      <c r="I48" s="10"/>
      <c r="J48" s="2"/>
      <c r="K48" s="58">
        <f t="shared" si="10"/>
        <v>0</v>
      </c>
      <c r="L48" s="53"/>
      <c r="M48" s="10">
        <v>12815</v>
      </c>
      <c r="N48" s="2">
        <v>13247</v>
      </c>
      <c r="O48" s="58">
        <f t="shared" si="6"/>
        <v>-432</v>
      </c>
      <c r="P48" s="53"/>
      <c r="Q48" s="10">
        <v>3680</v>
      </c>
      <c r="R48" s="10">
        <v>2863</v>
      </c>
      <c r="S48" s="98">
        <f t="shared" si="7"/>
        <v>817</v>
      </c>
      <c r="T48" s="53"/>
      <c r="U48" s="100"/>
      <c r="V48" s="53"/>
      <c r="W48" s="59">
        <f t="shared" si="8"/>
        <v>72105</v>
      </c>
      <c r="X48" s="53"/>
      <c r="Y48" s="8">
        <v>2670.49</v>
      </c>
      <c r="Z48" s="8">
        <f t="shared" si="11"/>
        <v>-69434.509999999995</v>
      </c>
      <c r="AA48" s="2">
        <v>56046</v>
      </c>
      <c r="AD48" s="162"/>
    </row>
    <row r="49" spans="1:30" s="1" customFormat="1" ht="12" customHeight="1">
      <c r="A49" s="6" t="s">
        <v>17</v>
      </c>
      <c r="B49" s="6" t="s">
        <v>78</v>
      </c>
      <c r="C49" s="6" t="s">
        <v>85</v>
      </c>
      <c r="D49" s="12" t="s">
        <v>86</v>
      </c>
      <c r="E49" s="13"/>
      <c r="F49" s="53"/>
      <c r="G49" s="2">
        <v>39023</v>
      </c>
      <c r="H49" s="53"/>
      <c r="I49" s="10"/>
      <c r="J49" s="2"/>
      <c r="K49" s="58">
        <f t="shared" si="10"/>
        <v>0</v>
      </c>
      <c r="L49" s="53"/>
      <c r="M49" s="10">
        <v>4700</v>
      </c>
      <c r="N49" s="2">
        <v>4695</v>
      </c>
      <c r="O49" s="58">
        <f t="shared" si="6"/>
        <v>5</v>
      </c>
      <c r="P49" s="53"/>
      <c r="Q49" s="10"/>
      <c r="R49" s="10"/>
      <c r="S49" s="98">
        <f t="shared" si="7"/>
        <v>0</v>
      </c>
      <c r="T49" s="53"/>
      <c r="U49" s="100"/>
      <c r="V49" s="53"/>
      <c r="W49" s="59">
        <f t="shared" si="8"/>
        <v>43718</v>
      </c>
      <c r="X49" s="53"/>
      <c r="Y49" s="8">
        <v>5117.5600000000004</v>
      </c>
      <c r="Z49" s="8">
        <f t="shared" si="11"/>
        <v>-38600.44</v>
      </c>
      <c r="AA49" s="2">
        <v>19852</v>
      </c>
      <c r="AD49" s="162"/>
    </row>
    <row r="50" spans="1:30" s="1" customFormat="1" ht="12" customHeight="1">
      <c r="A50" s="6" t="s">
        <v>17</v>
      </c>
      <c r="B50" s="6" t="s">
        <v>78</v>
      </c>
      <c r="C50" s="6" t="s">
        <v>87</v>
      </c>
      <c r="D50" s="12" t="s">
        <v>88</v>
      </c>
      <c r="E50" s="13"/>
      <c r="F50" s="53"/>
      <c r="G50" s="2"/>
      <c r="H50" s="53"/>
      <c r="I50" s="10"/>
      <c r="J50" s="2"/>
      <c r="K50" s="58">
        <f t="shared" si="10"/>
        <v>0</v>
      </c>
      <c r="L50" s="53"/>
      <c r="M50" s="10">
        <v>6893</v>
      </c>
      <c r="N50" s="2">
        <v>6574</v>
      </c>
      <c r="O50" s="58">
        <f t="shared" si="6"/>
        <v>319</v>
      </c>
      <c r="P50" s="53"/>
      <c r="Q50" s="10">
        <v>1300</v>
      </c>
      <c r="R50" s="10">
        <v>1300</v>
      </c>
      <c r="S50" s="98">
        <f t="shared" si="7"/>
        <v>0</v>
      </c>
      <c r="T50" s="53"/>
      <c r="U50" s="100"/>
      <c r="V50" s="53"/>
      <c r="W50" s="59">
        <f t="shared" si="8"/>
        <v>7874</v>
      </c>
      <c r="X50" s="53"/>
      <c r="Y50" s="8">
        <v>30</v>
      </c>
      <c r="Z50" s="8">
        <f t="shared" si="11"/>
        <v>-7844</v>
      </c>
      <c r="AA50" s="2">
        <v>11897</v>
      </c>
      <c r="AD50" s="162"/>
    </row>
    <row r="51" spans="1:30" s="1" customFormat="1" ht="12" customHeight="1">
      <c r="A51" s="6" t="s">
        <v>17</v>
      </c>
      <c r="B51" s="6" t="s">
        <v>78</v>
      </c>
      <c r="C51" s="6" t="s">
        <v>89</v>
      </c>
      <c r="D51" s="12" t="s">
        <v>90</v>
      </c>
      <c r="E51" s="13"/>
      <c r="F51" s="53"/>
      <c r="G51" s="2">
        <v>32281</v>
      </c>
      <c r="H51" s="53"/>
      <c r="I51" s="10">
        <v>12207</v>
      </c>
      <c r="J51" s="2">
        <v>11904</v>
      </c>
      <c r="K51" s="58">
        <f t="shared" si="10"/>
        <v>303</v>
      </c>
      <c r="L51" s="53"/>
      <c r="M51" s="10">
        <v>11700</v>
      </c>
      <c r="N51" s="2">
        <v>11564</v>
      </c>
      <c r="O51" s="58">
        <f t="shared" si="6"/>
        <v>136</v>
      </c>
      <c r="P51" s="53"/>
      <c r="Q51" s="10">
        <v>1800</v>
      </c>
      <c r="R51" s="10">
        <v>2025</v>
      </c>
      <c r="S51" s="98">
        <f t="shared" si="7"/>
        <v>-225</v>
      </c>
      <c r="T51" s="53"/>
      <c r="U51" s="100">
        <v>1920</v>
      </c>
      <c r="V51" s="53"/>
      <c r="W51" s="59">
        <f t="shared" si="8"/>
        <v>59694</v>
      </c>
      <c r="X51" s="53"/>
      <c r="Y51" s="8">
        <v>8956.89</v>
      </c>
      <c r="Z51" s="8">
        <f t="shared" si="11"/>
        <v>-50737.11</v>
      </c>
      <c r="AA51" s="2">
        <v>20322</v>
      </c>
      <c r="AD51" s="162"/>
    </row>
    <row r="52" spans="1:30" s="1" customFormat="1" ht="12" customHeight="1">
      <c r="A52" s="6" t="s">
        <v>17</v>
      </c>
      <c r="B52" s="6" t="s">
        <v>78</v>
      </c>
      <c r="C52" s="6" t="s">
        <v>91</v>
      </c>
      <c r="D52" s="12" t="s">
        <v>92</v>
      </c>
      <c r="E52" s="13"/>
      <c r="F52" s="53"/>
      <c r="G52" s="2">
        <v>60852</v>
      </c>
      <c r="H52" s="53"/>
      <c r="I52" s="10"/>
      <c r="J52" s="2"/>
      <c r="K52" s="58">
        <f t="shared" si="10"/>
        <v>0</v>
      </c>
      <c r="L52" s="53"/>
      <c r="M52" s="10">
        <v>13609</v>
      </c>
      <c r="N52" s="2">
        <v>12678</v>
      </c>
      <c r="O52" s="58">
        <f t="shared" si="6"/>
        <v>931</v>
      </c>
      <c r="P52" s="53"/>
      <c r="Q52" s="10">
        <v>8800</v>
      </c>
      <c r="R52" s="10">
        <v>11121</v>
      </c>
      <c r="S52" s="98">
        <f t="shared" si="7"/>
        <v>-2321</v>
      </c>
      <c r="T52" s="53"/>
      <c r="U52" s="100"/>
      <c r="V52" s="53"/>
      <c r="W52" s="59">
        <f t="shared" si="8"/>
        <v>84651</v>
      </c>
      <c r="X52" s="53"/>
      <c r="Y52" s="8">
        <v>110.22</v>
      </c>
      <c r="Z52" s="8">
        <f t="shared" si="11"/>
        <v>-84540.78</v>
      </c>
      <c r="AA52" s="2">
        <v>154662</v>
      </c>
      <c r="AD52" s="162"/>
    </row>
    <row r="53" spans="1:30" s="32" customFormat="1" ht="15.9" customHeight="1">
      <c r="A53" s="19"/>
      <c r="B53" s="19"/>
      <c r="C53" s="19"/>
      <c r="D53" s="46" t="s">
        <v>418</v>
      </c>
      <c r="E53" s="21">
        <f>SUM(E45:E52)</f>
        <v>0</v>
      </c>
      <c r="F53" s="35"/>
      <c r="G53" s="5">
        <f>SUM(G45:G52)</f>
        <v>374142</v>
      </c>
      <c r="H53" s="35"/>
      <c r="I53" s="5">
        <f>SUM(I45:I52)</f>
        <v>12207</v>
      </c>
      <c r="J53" s="5">
        <f>SUM(J45:J52)</f>
        <v>11904</v>
      </c>
      <c r="K53" s="5">
        <f>SUM(K45:K52)</f>
        <v>303</v>
      </c>
      <c r="L53" s="35"/>
      <c r="M53" s="5">
        <f>SUM(M45:M52)</f>
        <v>78317</v>
      </c>
      <c r="N53" s="5">
        <f>SUM(N45:N52)</f>
        <v>77658</v>
      </c>
      <c r="O53" s="114">
        <f t="shared" si="6"/>
        <v>659</v>
      </c>
      <c r="P53" s="35"/>
      <c r="Q53" s="5">
        <f>SUM(Q45:Q52)</f>
        <v>18630</v>
      </c>
      <c r="R53" s="5">
        <f>SUM(R45:R52)</f>
        <v>18884</v>
      </c>
      <c r="S53" s="120">
        <f t="shared" si="7"/>
        <v>-254</v>
      </c>
      <c r="T53" s="35"/>
      <c r="U53" s="5">
        <f>SUM(U45:U52)</f>
        <v>1920</v>
      </c>
      <c r="V53" s="35"/>
      <c r="W53" s="122">
        <f t="shared" si="8"/>
        <v>484508</v>
      </c>
      <c r="X53" s="35"/>
      <c r="Y53" s="5">
        <f>SUM(Y45:Y52)</f>
        <v>35790.770000000004</v>
      </c>
      <c r="Z53" s="5">
        <f>SUM(Z45:Z52)</f>
        <v>-448717.23</v>
      </c>
      <c r="AA53" s="5">
        <f>SUM(AA45:AA52)</f>
        <v>277729</v>
      </c>
      <c r="AD53" s="164"/>
    </row>
    <row r="54" spans="1:30" s="1" customFormat="1" ht="15.75" hidden="1" customHeight="1">
      <c r="A54" s="6"/>
      <c r="B54" s="6"/>
      <c r="C54" s="6"/>
      <c r="D54" s="12"/>
      <c r="E54" s="13"/>
      <c r="F54" s="53"/>
      <c r="G54" s="2"/>
      <c r="H54" s="53"/>
      <c r="I54" s="2"/>
      <c r="J54" s="2"/>
      <c r="K54" s="58">
        <f>SUM(I54-J54)</f>
        <v>0</v>
      </c>
      <c r="L54" s="53"/>
      <c r="M54" s="2"/>
      <c r="N54" s="2"/>
      <c r="O54" s="58">
        <f t="shared" si="6"/>
        <v>0</v>
      </c>
      <c r="P54" s="53"/>
      <c r="Q54" s="2"/>
      <c r="R54" s="2"/>
      <c r="S54" s="98">
        <f t="shared" si="7"/>
        <v>0</v>
      </c>
      <c r="T54" s="53"/>
      <c r="U54" s="104"/>
      <c r="V54" s="53"/>
      <c r="W54" s="59">
        <f t="shared" si="8"/>
        <v>0</v>
      </c>
      <c r="X54" s="53"/>
      <c r="Y54" s="2"/>
      <c r="Z54" s="8"/>
      <c r="AA54" s="2"/>
      <c r="AD54" s="162"/>
    </row>
    <row r="55" spans="1:30" s="1" customFormat="1" ht="12" customHeight="1">
      <c r="A55" s="38"/>
      <c r="B55" s="38"/>
      <c r="C55" s="38"/>
      <c r="D55" s="39"/>
      <c r="E55" s="40"/>
      <c r="F55" s="53"/>
      <c r="G55" s="41"/>
      <c r="H55" s="53"/>
      <c r="I55" s="42"/>
      <c r="J55" s="41"/>
      <c r="K55" s="113">
        <f>SUM(I55-J55)</f>
        <v>0</v>
      </c>
      <c r="L55" s="53"/>
      <c r="M55" s="42"/>
      <c r="N55" s="41"/>
      <c r="O55" s="113">
        <f t="shared" si="6"/>
        <v>0</v>
      </c>
      <c r="P55" s="53"/>
      <c r="Q55" s="42"/>
      <c r="R55" s="42"/>
      <c r="S55" s="118">
        <f t="shared" si="7"/>
        <v>0</v>
      </c>
      <c r="T55" s="53"/>
      <c r="U55" s="103"/>
      <c r="V55" s="53"/>
      <c r="W55" s="121">
        <f t="shared" si="8"/>
        <v>0</v>
      </c>
      <c r="X55" s="53"/>
      <c r="Y55" s="44"/>
      <c r="Z55" s="44"/>
      <c r="AA55" s="41"/>
      <c r="AD55" s="162"/>
    </row>
    <row r="56" spans="1:30" s="32" customFormat="1" ht="15" customHeight="1">
      <c r="A56" s="19" t="s">
        <v>17</v>
      </c>
      <c r="B56" s="19" t="s">
        <v>18</v>
      </c>
      <c r="C56" s="19" t="s">
        <v>93</v>
      </c>
      <c r="D56" s="18" t="s">
        <v>94</v>
      </c>
      <c r="E56" s="4"/>
      <c r="F56" s="35"/>
      <c r="G56" s="5">
        <v>697129</v>
      </c>
      <c r="H56" s="35"/>
      <c r="I56" s="22">
        <v>34662</v>
      </c>
      <c r="J56" s="5">
        <v>34397</v>
      </c>
      <c r="K56" s="58">
        <f>SUM(I56-J56)</f>
        <v>265</v>
      </c>
      <c r="L56" s="35"/>
      <c r="M56" s="22">
        <v>217275</v>
      </c>
      <c r="N56" s="5">
        <v>218421</v>
      </c>
      <c r="O56" s="114">
        <f t="shared" si="6"/>
        <v>-1146</v>
      </c>
      <c r="P56" s="35"/>
      <c r="Q56" s="22">
        <v>3319</v>
      </c>
      <c r="R56" s="22"/>
      <c r="S56" s="120">
        <f t="shared" si="7"/>
        <v>3319</v>
      </c>
      <c r="T56" s="35"/>
      <c r="U56" s="105"/>
      <c r="V56" s="35"/>
      <c r="W56" s="122">
        <f t="shared" si="8"/>
        <v>949947</v>
      </c>
      <c r="X56" s="35"/>
      <c r="Y56" s="14"/>
      <c r="Z56" s="14">
        <f>SUM(Y56-W56)</f>
        <v>-949947</v>
      </c>
      <c r="AA56" s="5"/>
      <c r="AD56" s="164"/>
    </row>
    <row r="57" spans="1:30" s="32" customFormat="1" ht="16.5" hidden="1" customHeight="1">
      <c r="A57" s="19"/>
      <c r="B57" s="19"/>
      <c r="C57" s="19"/>
      <c r="D57" s="143"/>
      <c r="E57" s="139"/>
      <c r="F57" s="35"/>
      <c r="G57" s="144"/>
      <c r="H57" s="35"/>
      <c r="I57" s="145"/>
      <c r="J57" s="144"/>
      <c r="K57" s="146">
        <f>SUM(I57-J57)</f>
        <v>0</v>
      </c>
      <c r="L57" s="35"/>
      <c r="M57" s="145"/>
      <c r="N57" s="144"/>
      <c r="O57" s="133">
        <f t="shared" si="6"/>
        <v>0</v>
      </c>
      <c r="P57" s="35"/>
      <c r="Q57" s="145"/>
      <c r="R57" s="145"/>
      <c r="S57" s="147">
        <f t="shared" si="7"/>
        <v>0</v>
      </c>
      <c r="T57" s="35"/>
      <c r="U57" s="148"/>
      <c r="V57" s="35"/>
      <c r="W57" s="149">
        <f t="shared" si="8"/>
        <v>0</v>
      </c>
      <c r="X57" s="35"/>
      <c r="Y57" s="150"/>
      <c r="Z57" s="150"/>
      <c r="AA57" s="144"/>
      <c r="AD57" s="164"/>
    </row>
    <row r="58" spans="1:30" s="32" customFormat="1" ht="13.5" customHeight="1">
      <c r="A58" s="138"/>
      <c r="B58" s="138"/>
      <c r="C58" s="138"/>
      <c r="D58" s="48" t="s">
        <v>95</v>
      </c>
      <c r="E58" s="4">
        <f>SUM(E6:E32, +E38+E44+E53+E56)</f>
        <v>0</v>
      </c>
      <c r="F58" s="151"/>
      <c r="G58" s="82">
        <f t="shared" ref="G58:N58" si="12">SUM(G6:G33)+G53+G44+G38+G56</f>
        <v>6956369</v>
      </c>
      <c r="H58" s="124">
        <f t="shared" si="12"/>
        <v>0</v>
      </c>
      <c r="I58" s="82">
        <f t="shared" si="12"/>
        <v>1026072</v>
      </c>
      <c r="J58" s="82">
        <f t="shared" si="12"/>
        <v>1018167</v>
      </c>
      <c r="K58" s="82">
        <f t="shared" si="12"/>
        <v>7905</v>
      </c>
      <c r="L58" s="116">
        <f t="shared" si="12"/>
        <v>29692</v>
      </c>
      <c r="M58" s="82">
        <f t="shared" si="12"/>
        <v>2423052</v>
      </c>
      <c r="N58" s="82">
        <f t="shared" si="12"/>
        <v>2423052</v>
      </c>
      <c r="O58" s="152">
        <f t="shared" si="6"/>
        <v>0</v>
      </c>
      <c r="P58" s="116">
        <f>SUM(P6:P33)+P53+P44+P38+P56</f>
        <v>0</v>
      </c>
      <c r="Q58" s="82">
        <f>SUM(Q6:Q33)+Q53+Q44+Q38+Q56</f>
        <v>552133</v>
      </c>
      <c r="R58" s="82">
        <f>SUM(R6:R33)+R53+R44+R38+R56</f>
        <v>525162</v>
      </c>
      <c r="S58" s="5">
        <f t="shared" si="7"/>
        <v>26971</v>
      </c>
      <c r="T58" s="124">
        <f>SUM(T6:T33)+T53+T44+T38+T56</f>
        <v>0</v>
      </c>
      <c r="U58" s="82">
        <f>SUM(U6:U33)+U53+U44+U38+U56</f>
        <v>650516</v>
      </c>
      <c r="V58" s="124">
        <f>SUM(V6:V33)+V53+V44+V38+V56</f>
        <v>0</v>
      </c>
      <c r="W58" s="14">
        <f t="shared" si="8"/>
        <v>11573266</v>
      </c>
      <c r="X58" s="124">
        <f>SUM(X6:X33)+X53+X44+X38+X56</f>
        <v>0</v>
      </c>
      <c r="Y58" s="82">
        <f>SUM(Y6:Y33)+Y53+Y44+Y38+Y56</f>
        <v>8417145.3099999987</v>
      </c>
      <c r="Z58" s="82">
        <f>SUM(Z6:Z33)+Z53+Z44+Z38+Z56</f>
        <v>-3156120.69</v>
      </c>
      <c r="AA58" s="82">
        <f>SUM(AA6:AA33)+AA53+AA44+AA38+AA56</f>
        <v>2935415</v>
      </c>
      <c r="AD58" s="164"/>
    </row>
    <row r="59" spans="1:30" s="32" customFormat="1" ht="8.25" customHeight="1">
      <c r="A59" s="142"/>
      <c r="B59" s="142"/>
      <c r="C59" s="142"/>
      <c r="D59" s="134"/>
      <c r="E59" s="127"/>
      <c r="G59" s="131"/>
      <c r="H59" s="131"/>
      <c r="I59" s="131"/>
      <c r="J59" s="131"/>
      <c r="K59" s="131"/>
      <c r="L59" s="131"/>
      <c r="M59" s="131"/>
      <c r="N59" s="131"/>
      <c r="O59" s="135"/>
      <c r="P59" s="131"/>
      <c r="Q59" s="131"/>
      <c r="R59" s="131"/>
      <c r="T59" s="131"/>
      <c r="U59" s="131"/>
      <c r="V59" s="131"/>
      <c r="W59" s="136"/>
      <c r="X59" s="131"/>
      <c r="Y59" s="131"/>
      <c r="Z59" s="131"/>
      <c r="AA59" s="131"/>
      <c r="AD59" s="164"/>
    </row>
    <row r="60" spans="1:30" s="32" customFormat="1" ht="3.75" customHeight="1">
      <c r="A60" s="140"/>
      <c r="B60" s="140"/>
      <c r="C60" s="141"/>
      <c r="D60" s="134"/>
      <c r="E60" s="127"/>
      <c r="G60" s="131"/>
      <c r="H60" s="131"/>
      <c r="I60" s="131"/>
      <c r="J60" s="131"/>
      <c r="K60" s="131"/>
      <c r="L60" s="131"/>
      <c r="M60" s="131"/>
      <c r="N60" s="131"/>
      <c r="O60" s="135"/>
      <c r="P60" s="131"/>
      <c r="Q60" s="131"/>
      <c r="R60" s="131"/>
      <c r="T60" s="131"/>
      <c r="U60" s="131"/>
      <c r="V60" s="131"/>
      <c r="W60" s="136"/>
      <c r="X60" s="131"/>
      <c r="Y60" s="131"/>
      <c r="Z60" s="131"/>
      <c r="AA60" s="131"/>
      <c r="AD60" s="164"/>
    </row>
    <row r="61" spans="1:30" s="32" customFormat="1" ht="17.25" customHeight="1">
      <c r="A61" s="19"/>
      <c r="B61" s="19"/>
      <c r="C61" s="132"/>
      <c r="D61" s="137" t="s">
        <v>431</v>
      </c>
      <c r="E61" s="127"/>
      <c r="G61" s="131"/>
      <c r="H61" s="131"/>
      <c r="I61" s="131"/>
      <c r="J61" s="131"/>
      <c r="K61" s="131"/>
      <c r="L61" s="131"/>
      <c r="M61" s="131"/>
      <c r="N61" s="131"/>
      <c r="O61" s="135"/>
      <c r="P61" s="131"/>
      <c r="Q61" s="131"/>
      <c r="R61" s="156" t="s">
        <v>433</v>
      </c>
      <c r="T61" s="131"/>
      <c r="V61" s="131"/>
      <c r="W61" s="136"/>
      <c r="X61" s="131"/>
      <c r="Y61" s="131"/>
      <c r="Z61" s="131"/>
      <c r="AA61" s="131"/>
      <c r="AD61" s="164"/>
    </row>
    <row r="62" spans="1:30" s="32" customFormat="1" ht="21.75" customHeight="1">
      <c r="A62" s="19"/>
      <c r="B62" s="19"/>
      <c r="C62" s="132"/>
      <c r="D62" s="134"/>
      <c r="E62" s="127"/>
      <c r="G62" s="131"/>
      <c r="H62" s="131"/>
      <c r="I62" s="131"/>
      <c r="J62" s="131"/>
      <c r="K62" s="131"/>
      <c r="L62" s="131"/>
      <c r="M62" s="131"/>
      <c r="N62" s="131"/>
      <c r="O62" s="135"/>
      <c r="P62" s="131"/>
      <c r="Q62" s="131"/>
      <c r="R62" s="131"/>
      <c r="T62" s="131"/>
      <c r="U62" s="131"/>
      <c r="V62" s="131"/>
      <c r="W62" s="136"/>
      <c r="X62" s="131"/>
      <c r="Y62" s="131"/>
      <c r="Z62" s="131"/>
      <c r="AA62" s="131"/>
      <c r="AD62" s="164"/>
    </row>
    <row r="63" spans="1:30" s="1" customFormat="1" ht="12.9" customHeight="1">
      <c r="A63" s="6"/>
      <c r="B63" s="6"/>
      <c r="C63" s="6"/>
      <c r="D63" s="80" t="s">
        <v>96</v>
      </c>
      <c r="E63" s="81"/>
      <c r="F63" s="53"/>
      <c r="G63" s="56"/>
      <c r="H63" s="53"/>
      <c r="I63" s="56"/>
      <c r="J63" s="56"/>
      <c r="K63" s="58"/>
      <c r="L63" s="53"/>
      <c r="M63" s="56"/>
      <c r="N63" s="56"/>
      <c r="O63" s="58">
        <f t="shared" ref="O63:O126" si="13">SUM(M63-N63)</f>
        <v>0</v>
      </c>
      <c r="P63" s="53"/>
      <c r="Q63" s="56"/>
      <c r="R63" s="56"/>
      <c r="S63" s="98">
        <f t="shared" ref="S63:S126" si="14">Q63-R63</f>
        <v>0</v>
      </c>
      <c r="T63" s="53"/>
      <c r="U63" s="106"/>
      <c r="V63" s="53"/>
      <c r="W63" s="59">
        <f t="shared" ref="W63:W126" si="15">SUM(G63+J63+U63+N63+R63)</f>
        <v>0</v>
      </c>
      <c r="X63" s="53"/>
      <c r="Y63" s="59"/>
      <c r="Z63" s="59"/>
      <c r="AA63" s="56"/>
      <c r="AD63" s="162"/>
    </row>
    <row r="64" spans="1:30" s="1" customFormat="1" ht="12" customHeight="1">
      <c r="A64" s="6" t="s">
        <v>97</v>
      </c>
      <c r="B64" s="6" t="s">
        <v>18</v>
      </c>
      <c r="C64" s="6">
        <v>213</v>
      </c>
      <c r="D64" s="2" t="s">
        <v>98</v>
      </c>
      <c r="E64" s="11"/>
      <c r="F64" s="53"/>
      <c r="G64" s="2">
        <v>67778</v>
      </c>
      <c r="H64" s="53"/>
      <c r="I64" s="2">
        <v>800</v>
      </c>
      <c r="J64" s="2">
        <v>796</v>
      </c>
      <c r="K64" s="58">
        <f t="shared" ref="K64:K89" si="16">SUM(I64-J64)</f>
        <v>4</v>
      </c>
      <c r="L64" s="53"/>
      <c r="M64" s="2">
        <v>24000</v>
      </c>
      <c r="N64" s="2">
        <v>23462</v>
      </c>
      <c r="O64" s="58">
        <f t="shared" si="13"/>
        <v>538</v>
      </c>
      <c r="P64" s="53"/>
      <c r="Q64" s="2"/>
      <c r="R64" s="2"/>
      <c r="S64" s="98">
        <f t="shared" si="14"/>
        <v>0</v>
      </c>
      <c r="T64" s="53"/>
      <c r="U64" s="104"/>
      <c r="V64" s="53"/>
      <c r="W64" s="59">
        <f t="shared" si="15"/>
        <v>92036</v>
      </c>
      <c r="X64" s="53"/>
      <c r="Y64" s="8"/>
      <c r="Z64" s="8">
        <f t="shared" ref="Z64:Z88" si="17">SUM(Y64-W64)</f>
        <v>-92036</v>
      </c>
      <c r="AA64" s="2">
        <v>13506</v>
      </c>
      <c r="AD64" s="162"/>
    </row>
    <row r="65" spans="1:30" s="1" customFormat="1" ht="12" customHeight="1">
      <c r="A65" s="6" t="s">
        <v>97</v>
      </c>
      <c r="B65" s="6" t="s">
        <v>18</v>
      </c>
      <c r="C65" s="6" t="s">
        <v>99</v>
      </c>
      <c r="D65" s="15" t="s">
        <v>100</v>
      </c>
      <c r="E65" s="16"/>
      <c r="F65" s="53"/>
      <c r="G65" s="2">
        <v>30964</v>
      </c>
      <c r="H65" s="53"/>
      <c r="I65" s="10"/>
      <c r="J65" s="2"/>
      <c r="K65" s="58">
        <f t="shared" si="16"/>
        <v>0</v>
      </c>
      <c r="L65" s="53"/>
      <c r="M65" s="10">
        <v>7500</v>
      </c>
      <c r="N65" s="2">
        <v>6375</v>
      </c>
      <c r="O65" s="58">
        <f t="shared" si="13"/>
        <v>1125</v>
      </c>
      <c r="P65" s="53"/>
      <c r="Q65" s="10">
        <v>4285</v>
      </c>
      <c r="R65" s="10">
        <v>4320</v>
      </c>
      <c r="S65" s="98">
        <f t="shared" si="14"/>
        <v>-35</v>
      </c>
      <c r="T65" s="53"/>
      <c r="U65" s="100">
        <v>4500</v>
      </c>
      <c r="V65" s="53"/>
      <c r="W65" s="59">
        <f t="shared" si="15"/>
        <v>46159</v>
      </c>
      <c r="X65" s="53"/>
      <c r="Y65" s="8">
        <v>26811.759999999998</v>
      </c>
      <c r="Z65" s="8">
        <f t="shared" si="17"/>
        <v>-19347.240000000002</v>
      </c>
      <c r="AA65" s="2">
        <v>19258</v>
      </c>
      <c r="AD65" s="162"/>
    </row>
    <row r="66" spans="1:30" s="1" customFormat="1" ht="12" customHeight="1">
      <c r="A66" s="6" t="s">
        <v>97</v>
      </c>
      <c r="B66" s="6" t="s">
        <v>18</v>
      </c>
      <c r="C66" s="6" t="s">
        <v>101</v>
      </c>
      <c r="D66" s="15" t="s">
        <v>102</v>
      </c>
      <c r="E66" s="16"/>
      <c r="F66" s="53"/>
      <c r="G66" s="2"/>
      <c r="H66" s="53"/>
      <c r="I66" s="10">
        <v>2500</v>
      </c>
      <c r="J66" s="2">
        <v>2062</v>
      </c>
      <c r="K66" s="58">
        <f t="shared" si="16"/>
        <v>438</v>
      </c>
      <c r="L66" s="53"/>
      <c r="M66" s="10">
        <v>3000</v>
      </c>
      <c r="N66" s="2">
        <v>2559</v>
      </c>
      <c r="O66" s="58">
        <f t="shared" si="13"/>
        <v>441</v>
      </c>
      <c r="P66" s="53"/>
      <c r="Q66" s="10"/>
      <c r="R66" s="10"/>
      <c r="S66" s="98">
        <f t="shared" si="14"/>
        <v>0</v>
      </c>
      <c r="T66" s="53"/>
      <c r="U66" s="100"/>
      <c r="V66" s="53"/>
      <c r="W66" s="59">
        <f t="shared" si="15"/>
        <v>4621</v>
      </c>
      <c r="X66" s="53"/>
      <c r="Y66" s="8"/>
      <c r="Z66" s="8">
        <f t="shared" si="17"/>
        <v>-4621</v>
      </c>
      <c r="AA66" s="2">
        <v>13312</v>
      </c>
      <c r="AD66" s="162"/>
    </row>
    <row r="67" spans="1:30" s="1" customFormat="1" ht="12" customHeight="1">
      <c r="A67" s="6" t="s">
        <v>97</v>
      </c>
      <c r="B67" s="6" t="s">
        <v>18</v>
      </c>
      <c r="C67" s="6" t="s">
        <v>103</v>
      </c>
      <c r="D67" s="15" t="s">
        <v>104</v>
      </c>
      <c r="E67" s="16"/>
      <c r="F67" s="53"/>
      <c r="G67" s="2">
        <v>114420</v>
      </c>
      <c r="H67" s="53"/>
      <c r="I67" s="10">
        <v>4000</v>
      </c>
      <c r="J67" s="2">
        <v>3996</v>
      </c>
      <c r="K67" s="58">
        <f t="shared" si="16"/>
        <v>4</v>
      </c>
      <c r="L67" s="53"/>
      <c r="M67" s="10">
        <v>23852</v>
      </c>
      <c r="N67" s="2">
        <v>23099</v>
      </c>
      <c r="O67" s="58">
        <f t="shared" si="13"/>
        <v>753</v>
      </c>
      <c r="P67" s="53"/>
      <c r="Q67" s="10">
        <v>13500</v>
      </c>
      <c r="R67" s="10">
        <v>13500</v>
      </c>
      <c r="S67" s="98">
        <f t="shared" si="14"/>
        <v>0</v>
      </c>
      <c r="T67" s="53"/>
      <c r="U67" s="100">
        <v>4498</v>
      </c>
      <c r="V67" s="53"/>
      <c r="W67" s="59">
        <f t="shared" si="15"/>
        <v>159513</v>
      </c>
      <c r="X67" s="53"/>
      <c r="Y67" s="8">
        <v>23499.98</v>
      </c>
      <c r="Z67" s="8">
        <f t="shared" si="17"/>
        <v>-136013.01999999999</v>
      </c>
      <c r="AA67" s="2">
        <v>19053</v>
      </c>
      <c r="AD67" s="162"/>
    </row>
    <row r="68" spans="1:30" s="1" customFormat="1" ht="12" customHeight="1">
      <c r="A68" s="6" t="s">
        <v>97</v>
      </c>
      <c r="B68" s="6" t="s">
        <v>18</v>
      </c>
      <c r="C68" s="6" t="s">
        <v>105</v>
      </c>
      <c r="D68" s="15" t="s">
        <v>106</v>
      </c>
      <c r="E68" s="16"/>
      <c r="F68" s="53"/>
      <c r="G68" s="2">
        <v>89816</v>
      </c>
      <c r="H68" s="53"/>
      <c r="I68" s="10">
        <v>1012</v>
      </c>
      <c r="J68" s="2">
        <v>1916</v>
      </c>
      <c r="K68" s="58">
        <f t="shared" si="16"/>
        <v>-904</v>
      </c>
      <c r="L68" s="53"/>
      <c r="M68" s="10">
        <v>16850</v>
      </c>
      <c r="N68" s="2">
        <v>16820</v>
      </c>
      <c r="O68" s="58">
        <f t="shared" si="13"/>
        <v>30</v>
      </c>
      <c r="P68" s="53"/>
      <c r="Q68" s="10"/>
      <c r="R68" s="10"/>
      <c r="S68" s="98">
        <f t="shared" si="14"/>
        <v>0</v>
      </c>
      <c r="T68" s="53"/>
      <c r="U68" s="100"/>
      <c r="V68" s="53"/>
      <c r="W68" s="59">
        <f t="shared" si="15"/>
        <v>108552</v>
      </c>
      <c r="X68" s="53"/>
      <c r="Y68" s="8">
        <v>19969.599999999999</v>
      </c>
      <c r="Z68" s="8">
        <f t="shared" si="17"/>
        <v>-88582.399999999994</v>
      </c>
      <c r="AA68" s="2">
        <v>36154</v>
      </c>
      <c r="AD68" s="162"/>
    </row>
    <row r="69" spans="1:30" s="1" customFormat="1" ht="12" customHeight="1">
      <c r="A69" s="6" t="s">
        <v>97</v>
      </c>
      <c r="B69" s="6" t="s">
        <v>18</v>
      </c>
      <c r="C69" s="6" t="s">
        <v>107</v>
      </c>
      <c r="D69" s="15" t="s">
        <v>108</v>
      </c>
      <c r="E69" s="16"/>
      <c r="F69" s="53"/>
      <c r="G69" s="2">
        <v>59125</v>
      </c>
      <c r="H69" s="53"/>
      <c r="I69" s="10">
        <v>14000</v>
      </c>
      <c r="J69" s="2">
        <v>13911</v>
      </c>
      <c r="K69" s="58">
        <f t="shared" si="16"/>
        <v>89</v>
      </c>
      <c r="L69" s="53"/>
      <c r="M69" s="10">
        <v>10450</v>
      </c>
      <c r="N69" s="2">
        <v>10035</v>
      </c>
      <c r="O69" s="58">
        <f t="shared" si="13"/>
        <v>415</v>
      </c>
      <c r="P69" s="53"/>
      <c r="Q69" s="10">
        <v>6020</v>
      </c>
      <c r="R69" s="10">
        <v>6052</v>
      </c>
      <c r="S69" s="98">
        <f t="shared" si="14"/>
        <v>-32</v>
      </c>
      <c r="T69" s="53"/>
      <c r="U69" s="100"/>
      <c r="V69" s="53"/>
      <c r="W69" s="59">
        <f t="shared" si="15"/>
        <v>89123</v>
      </c>
      <c r="X69" s="53"/>
      <c r="Y69" s="8">
        <v>6073.19</v>
      </c>
      <c r="Z69" s="8">
        <f t="shared" si="17"/>
        <v>-83049.81</v>
      </c>
      <c r="AA69" s="2">
        <v>25026</v>
      </c>
      <c r="AD69" s="162"/>
    </row>
    <row r="70" spans="1:30" s="1" customFormat="1" ht="12" customHeight="1">
      <c r="A70" s="6" t="s">
        <v>97</v>
      </c>
      <c r="B70" s="6" t="s">
        <v>18</v>
      </c>
      <c r="C70" s="6" t="s">
        <v>109</v>
      </c>
      <c r="D70" s="15" t="s">
        <v>110</v>
      </c>
      <c r="E70" s="16"/>
      <c r="F70" s="53"/>
      <c r="G70" s="2">
        <v>447950</v>
      </c>
      <c r="H70" s="53"/>
      <c r="I70" s="10">
        <v>52000</v>
      </c>
      <c r="J70" s="2">
        <v>51986</v>
      </c>
      <c r="K70" s="58">
        <f t="shared" si="16"/>
        <v>14</v>
      </c>
      <c r="L70" s="53"/>
      <c r="M70" s="10">
        <v>124356</v>
      </c>
      <c r="N70" s="2">
        <v>124643</v>
      </c>
      <c r="O70" s="58">
        <f t="shared" si="13"/>
        <v>-287</v>
      </c>
      <c r="P70" s="53"/>
      <c r="Q70" s="10">
        <v>3600</v>
      </c>
      <c r="R70" s="10">
        <v>3600</v>
      </c>
      <c r="S70" s="98">
        <f t="shared" si="14"/>
        <v>0</v>
      </c>
      <c r="T70" s="53"/>
      <c r="U70" s="100">
        <v>32000</v>
      </c>
      <c r="V70" s="53"/>
      <c r="W70" s="59">
        <f t="shared" si="15"/>
        <v>660179</v>
      </c>
      <c r="X70" s="53"/>
      <c r="Y70" s="8">
        <v>620782.36</v>
      </c>
      <c r="Z70" s="8">
        <f t="shared" si="17"/>
        <v>-39396.640000000014</v>
      </c>
      <c r="AA70" s="2">
        <v>182282</v>
      </c>
      <c r="AD70" s="162"/>
    </row>
    <row r="71" spans="1:30" s="1" customFormat="1" ht="12" customHeight="1">
      <c r="A71" s="6" t="s">
        <v>97</v>
      </c>
      <c r="B71" s="6" t="s">
        <v>18</v>
      </c>
      <c r="C71" s="6" t="s">
        <v>111</v>
      </c>
      <c r="D71" s="15" t="s">
        <v>112</v>
      </c>
      <c r="E71" s="16"/>
      <c r="F71" s="53"/>
      <c r="G71" s="2">
        <v>320519</v>
      </c>
      <c r="H71" s="53"/>
      <c r="I71" s="10">
        <v>8750</v>
      </c>
      <c r="J71" s="2">
        <v>8740</v>
      </c>
      <c r="K71" s="58">
        <f t="shared" si="16"/>
        <v>10</v>
      </c>
      <c r="L71" s="53"/>
      <c r="M71" s="10">
        <v>93714</v>
      </c>
      <c r="N71" s="2">
        <v>95393</v>
      </c>
      <c r="O71" s="58">
        <f t="shared" si="13"/>
        <v>-1679</v>
      </c>
      <c r="P71" s="53"/>
      <c r="Q71" s="10">
        <v>33049</v>
      </c>
      <c r="R71" s="10">
        <v>32785</v>
      </c>
      <c r="S71" s="98">
        <f t="shared" si="14"/>
        <v>264</v>
      </c>
      <c r="T71" s="53"/>
      <c r="U71" s="100">
        <v>3415</v>
      </c>
      <c r="V71" s="53"/>
      <c r="W71" s="59">
        <f t="shared" si="15"/>
        <v>460852</v>
      </c>
      <c r="X71" s="53"/>
      <c r="Y71" s="8">
        <v>246102.45</v>
      </c>
      <c r="Z71" s="8">
        <f t="shared" si="17"/>
        <v>-214749.55</v>
      </c>
      <c r="AA71" s="2">
        <v>40343</v>
      </c>
      <c r="AD71" s="162"/>
    </row>
    <row r="72" spans="1:30" s="1" customFormat="1" ht="12" customHeight="1">
      <c r="A72" s="6">
        <v>20</v>
      </c>
      <c r="B72" s="6" t="s">
        <v>18</v>
      </c>
      <c r="C72" s="6" t="s">
        <v>45</v>
      </c>
      <c r="D72" s="15" t="s">
        <v>113</v>
      </c>
      <c r="E72" s="16"/>
      <c r="F72" s="53"/>
      <c r="G72" s="2"/>
      <c r="H72" s="53"/>
      <c r="I72" s="10">
        <v>15000</v>
      </c>
      <c r="J72" s="2">
        <v>15133</v>
      </c>
      <c r="K72" s="58">
        <f t="shared" si="16"/>
        <v>-133</v>
      </c>
      <c r="L72" s="53"/>
      <c r="M72" s="10">
        <v>95000</v>
      </c>
      <c r="N72" s="2">
        <v>95243</v>
      </c>
      <c r="O72" s="58">
        <f t="shared" si="13"/>
        <v>-243</v>
      </c>
      <c r="P72" s="53"/>
      <c r="Q72" s="10"/>
      <c r="R72" s="10"/>
      <c r="S72" s="98">
        <f t="shared" si="14"/>
        <v>0</v>
      </c>
      <c r="T72" s="53"/>
      <c r="U72" s="100"/>
      <c r="V72" s="53"/>
      <c r="W72" s="59">
        <f t="shared" si="15"/>
        <v>110376</v>
      </c>
      <c r="X72" s="53"/>
      <c r="Y72" s="8">
        <v>95651.75</v>
      </c>
      <c r="Z72" s="8">
        <f t="shared" si="17"/>
        <v>-14724.25</v>
      </c>
      <c r="AA72" s="2"/>
      <c r="AD72" s="162"/>
    </row>
    <row r="73" spans="1:30" s="1" customFormat="1" ht="12" customHeight="1">
      <c r="A73" s="6" t="s">
        <v>97</v>
      </c>
      <c r="B73" s="6" t="s">
        <v>18</v>
      </c>
      <c r="C73" s="6" t="s">
        <v>114</v>
      </c>
      <c r="D73" s="12" t="s">
        <v>115</v>
      </c>
      <c r="E73" s="13"/>
      <c r="F73" s="53"/>
      <c r="G73" s="2">
        <v>938004</v>
      </c>
      <c r="H73" s="53"/>
      <c r="I73" s="10">
        <v>80683</v>
      </c>
      <c r="J73" s="2">
        <v>79979</v>
      </c>
      <c r="K73" s="58">
        <f t="shared" si="16"/>
        <v>704</v>
      </c>
      <c r="L73" s="53"/>
      <c r="M73" s="10">
        <v>409347</v>
      </c>
      <c r="N73" s="2">
        <v>413069</v>
      </c>
      <c r="O73" s="58">
        <f t="shared" si="13"/>
        <v>-3722</v>
      </c>
      <c r="P73" s="53"/>
      <c r="Q73" s="10">
        <v>59000</v>
      </c>
      <c r="R73" s="10">
        <v>58525</v>
      </c>
      <c r="S73" s="98">
        <f t="shared" si="14"/>
        <v>475</v>
      </c>
      <c r="T73" s="53"/>
      <c r="U73" s="100">
        <v>532636</v>
      </c>
      <c r="V73" s="53"/>
      <c r="W73" s="59">
        <f t="shared" si="15"/>
        <v>2022213</v>
      </c>
      <c r="X73" s="53"/>
      <c r="Y73" s="8">
        <v>2612305.4900000002</v>
      </c>
      <c r="Z73" s="8">
        <f t="shared" si="17"/>
        <v>590092.49000000022</v>
      </c>
      <c r="AA73" s="2">
        <v>256195</v>
      </c>
      <c r="AD73" s="162"/>
    </row>
    <row r="74" spans="1:30" s="1" customFormat="1" ht="12" customHeight="1">
      <c r="A74" s="6" t="s">
        <v>97</v>
      </c>
      <c r="B74" s="6" t="s">
        <v>18</v>
      </c>
      <c r="C74" s="6" t="s">
        <v>116</v>
      </c>
      <c r="D74" s="15" t="s">
        <v>117</v>
      </c>
      <c r="E74" s="16"/>
      <c r="F74" s="53"/>
      <c r="G74" s="2">
        <v>300045</v>
      </c>
      <c r="H74" s="53"/>
      <c r="I74" s="10">
        <v>101400</v>
      </c>
      <c r="J74" s="2">
        <v>101402</v>
      </c>
      <c r="K74" s="58">
        <f t="shared" si="16"/>
        <v>-2</v>
      </c>
      <c r="L74" s="53"/>
      <c r="M74" s="10">
        <v>102266</v>
      </c>
      <c r="N74" s="2">
        <v>102597</v>
      </c>
      <c r="O74" s="58">
        <f t="shared" si="13"/>
        <v>-331</v>
      </c>
      <c r="P74" s="53"/>
      <c r="Q74" s="10">
        <v>9600</v>
      </c>
      <c r="R74" s="10">
        <v>9600</v>
      </c>
      <c r="S74" s="98">
        <f t="shared" si="14"/>
        <v>0</v>
      </c>
      <c r="T74" s="53"/>
      <c r="U74" s="100"/>
      <c r="V74" s="53"/>
      <c r="W74" s="59">
        <f t="shared" si="15"/>
        <v>513644</v>
      </c>
      <c r="X74" s="53"/>
      <c r="Y74" s="8">
        <v>477444.17</v>
      </c>
      <c r="Z74" s="8">
        <f t="shared" si="17"/>
        <v>-36199.830000000016</v>
      </c>
      <c r="AA74" s="2">
        <v>173755</v>
      </c>
      <c r="AD74" s="162"/>
    </row>
    <row r="75" spans="1:30" s="1" customFormat="1" ht="12" customHeight="1">
      <c r="A75" s="6"/>
      <c r="B75" s="6"/>
      <c r="C75" s="6"/>
      <c r="D75" s="15" t="s">
        <v>118</v>
      </c>
      <c r="E75" s="16"/>
      <c r="F75" s="53"/>
      <c r="G75" s="2"/>
      <c r="H75" s="53"/>
      <c r="I75" s="10">
        <v>5000</v>
      </c>
      <c r="J75" s="2">
        <v>1085</v>
      </c>
      <c r="K75" s="58">
        <f t="shared" si="16"/>
        <v>3915</v>
      </c>
      <c r="L75" s="53"/>
      <c r="M75" s="10">
        <v>800</v>
      </c>
      <c r="N75" s="2">
        <v>801</v>
      </c>
      <c r="O75" s="58">
        <f t="shared" si="13"/>
        <v>-1</v>
      </c>
      <c r="P75" s="53"/>
      <c r="Q75" s="10">
        <v>1170</v>
      </c>
      <c r="R75" s="10">
        <v>1170</v>
      </c>
      <c r="S75" s="98">
        <f t="shared" si="14"/>
        <v>0</v>
      </c>
      <c r="T75" s="53"/>
      <c r="U75" s="100"/>
      <c r="V75" s="53"/>
      <c r="W75" s="59">
        <f t="shared" si="15"/>
        <v>3056</v>
      </c>
      <c r="X75" s="53"/>
      <c r="Y75" s="8">
        <v>7976</v>
      </c>
      <c r="Z75" s="8">
        <f t="shared" si="17"/>
        <v>4920</v>
      </c>
      <c r="AA75" s="2"/>
      <c r="AD75" s="162"/>
    </row>
    <row r="76" spans="1:30" s="1" customFormat="1" ht="12" customHeight="1">
      <c r="A76" s="6" t="s">
        <v>97</v>
      </c>
      <c r="B76" s="6" t="s">
        <v>18</v>
      </c>
      <c r="C76" s="6" t="s">
        <v>119</v>
      </c>
      <c r="D76" s="15" t="s">
        <v>120</v>
      </c>
      <c r="E76" s="16"/>
      <c r="F76" s="53"/>
      <c r="G76" s="2">
        <v>91794</v>
      </c>
      <c r="H76" s="53"/>
      <c r="I76" s="10">
        <v>20200</v>
      </c>
      <c r="J76" s="2">
        <v>20194</v>
      </c>
      <c r="K76" s="58">
        <f t="shared" si="16"/>
        <v>6</v>
      </c>
      <c r="L76" s="53"/>
      <c r="M76" s="10">
        <v>19451</v>
      </c>
      <c r="N76" s="2">
        <v>19044</v>
      </c>
      <c r="O76" s="58">
        <f t="shared" si="13"/>
        <v>407</v>
      </c>
      <c r="P76" s="53"/>
      <c r="Q76" s="10"/>
      <c r="R76" s="10"/>
      <c r="S76" s="98">
        <f t="shared" si="14"/>
        <v>0</v>
      </c>
      <c r="T76" s="53"/>
      <c r="U76" s="100"/>
      <c r="V76" s="53"/>
      <c r="W76" s="59">
        <f t="shared" si="15"/>
        <v>131032</v>
      </c>
      <c r="X76" s="53"/>
      <c r="Y76" s="8">
        <v>29621.14</v>
      </c>
      <c r="Z76" s="8">
        <f t="shared" si="17"/>
        <v>-101410.86</v>
      </c>
      <c r="AA76" s="2">
        <v>22699</v>
      </c>
      <c r="AD76" s="162"/>
    </row>
    <row r="77" spans="1:30" s="1" customFormat="1" ht="12" customHeight="1">
      <c r="A77" s="6" t="s">
        <v>97</v>
      </c>
      <c r="B77" s="6" t="s">
        <v>18</v>
      </c>
      <c r="C77" s="6">
        <v>258</v>
      </c>
      <c r="D77" s="15" t="s">
        <v>121</v>
      </c>
      <c r="E77" s="16"/>
      <c r="F77" s="53"/>
      <c r="G77" s="2">
        <v>65681</v>
      </c>
      <c r="H77" s="53"/>
      <c r="I77" s="10">
        <v>16300</v>
      </c>
      <c r="J77" s="2">
        <v>16194</v>
      </c>
      <c r="K77" s="58">
        <f t="shared" si="16"/>
        <v>106</v>
      </c>
      <c r="L77" s="53"/>
      <c r="M77" s="10">
        <v>87000</v>
      </c>
      <c r="N77" s="2">
        <v>86782</v>
      </c>
      <c r="O77" s="58">
        <f t="shared" si="13"/>
        <v>218</v>
      </c>
      <c r="P77" s="53"/>
      <c r="Q77" s="10"/>
      <c r="R77" s="10"/>
      <c r="S77" s="98">
        <f t="shared" si="14"/>
        <v>0</v>
      </c>
      <c r="T77" s="53"/>
      <c r="U77" s="100"/>
      <c r="V77" s="53"/>
      <c r="W77" s="59">
        <f t="shared" si="15"/>
        <v>168657</v>
      </c>
      <c r="X77" s="53"/>
      <c r="Y77" s="8">
        <v>20935.18</v>
      </c>
      <c r="Z77" s="8">
        <f t="shared" si="17"/>
        <v>-147721.82</v>
      </c>
      <c r="AA77" s="2">
        <v>24303</v>
      </c>
      <c r="AD77" s="162"/>
    </row>
    <row r="78" spans="1:30" s="1" customFormat="1" ht="12" customHeight="1">
      <c r="A78" s="6" t="s">
        <v>97</v>
      </c>
      <c r="B78" s="6" t="s">
        <v>18</v>
      </c>
      <c r="C78" s="6" t="s">
        <v>122</v>
      </c>
      <c r="D78" s="15" t="s">
        <v>123</v>
      </c>
      <c r="E78" s="16"/>
      <c r="F78" s="53"/>
      <c r="G78" s="2">
        <v>30154</v>
      </c>
      <c r="H78" s="53"/>
      <c r="I78" s="10">
        <v>8700</v>
      </c>
      <c r="J78" s="2">
        <v>8697</v>
      </c>
      <c r="K78" s="58">
        <f t="shared" si="16"/>
        <v>3</v>
      </c>
      <c r="L78" s="53"/>
      <c r="M78" s="10">
        <v>17500</v>
      </c>
      <c r="N78" s="2">
        <v>17187</v>
      </c>
      <c r="O78" s="58">
        <f t="shared" si="13"/>
        <v>313</v>
      </c>
      <c r="P78" s="53"/>
      <c r="Q78" s="10">
        <v>17400</v>
      </c>
      <c r="R78" s="10">
        <v>17369</v>
      </c>
      <c r="S78" s="98">
        <f t="shared" si="14"/>
        <v>31</v>
      </c>
      <c r="T78" s="53"/>
      <c r="U78" s="100"/>
      <c r="V78" s="53"/>
      <c r="W78" s="59">
        <f t="shared" si="15"/>
        <v>73407</v>
      </c>
      <c r="X78" s="53"/>
      <c r="Y78" s="8">
        <v>5371.18</v>
      </c>
      <c r="Z78" s="8">
        <f t="shared" si="17"/>
        <v>-68035.820000000007</v>
      </c>
      <c r="AA78" s="2">
        <v>28221</v>
      </c>
      <c r="AD78" s="162"/>
    </row>
    <row r="79" spans="1:30" s="1" customFormat="1" ht="12" customHeight="1">
      <c r="A79" s="6" t="s">
        <v>97</v>
      </c>
      <c r="B79" s="6" t="s">
        <v>18</v>
      </c>
      <c r="C79" s="6" t="s">
        <v>124</v>
      </c>
      <c r="D79" s="15" t="s">
        <v>125</v>
      </c>
      <c r="E79" s="16"/>
      <c r="F79" s="53"/>
      <c r="G79" s="2">
        <v>499777</v>
      </c>
      <c r="H79" s="53"/>
      <c r="I79" s="10">
        <v>23000</v>
      </c>
      <c r="J79" s="2">
        <v>23125</v>
      </c>
      <c r="K79" s="58">
        <f t="shared" si="16"/>
        <v>-125</v>
      </c>
      <c r="L79" s="53"/>
      <c r="M79" s="10">
        <v>142159</v>
      </c>
      <c r="N79" s="2">
        <v>139499</v>
      </c>
      <c r="O79" s="58">
        <f t="shared" si="13"/>
        <v>2660</v>
      </c>
      <c r="P79" s="53"/>
      <c r="Q79" s="10">
        <v>35257</v>
      </c>
      <c r="R79" s="10">
        <v>34287</v>
      </c>
      <c r="S79" s="98">
        <f t="shared" si="14"/>
        <v>970</v>
      </c>
      <c r="T79" s="53"/>
      <c r="U79" s="100"/>
      <c r="V79" s="53"/>
      <c r="W79" s="59">
        <f t="shared" si="15"/>
        <v>696688</v>
      </c>
      <c r="X79" s="53"/>
      <c r="Y79" s="8">
        <v>138085.28</v>
      </c>
      <c r="Z79" s="8">
        <f t="shared" si="17"/>
        <v>-558602.72</v>
      </c>
      <c r="AA79" s="2">
        <v>229174</v>
      </c>
      <c r="AD79" s="162"/>
    </row>
    <row r="80" spans="1:30" s="1" customFormat="1" ht="12" customHeight="1">
      <c r="A80" s="6" t="s">
        <v>97</v>
      </c>
      <c r="B80" s="6" t="s">
        <v>18</v>
      </c>
      <c r="C80" s="6" t="s">
        <v>126</v>
      </c>
      <c r="D80" s="15" t="s">
        <v>127</v>
      </c>
      <c r="E80" s="16"/>
      <c r="F80" s="53"/>
      <c r="G80" s="2">
        <v>120953</v>
      </c>
      <c r="H80" s="53"/>
      <c r="I80" s="10">
        <v>14000</v>
      </c>
      <c r="J80" s="2">
        <v>13973</v>
      </c>
      <c r="K80" s="58">
        <f t="shared" si="16"/>
        <v>27</v>
      </c>
      <c r="L80" s="53"/>
      <c r="M80" s="10">
        <v>32800</v>
      </c>
      <c r="N80" s="2">
        <v>32504</v>
      </c>
      <c r="O80" s="58">
        <f t="shared" si="13"/>
        <v>296</v>
      </c>
      <c r="P80" s="53"/>
      <c r="Q80" s="10">
        <v>4800</v>
      </c>
      <c r="R80" s="10">
        <v>4800</v>
      </c>
      <c r="S80" s="98">
        <f t="shared" si="14"/>
        <v>0</v>
      </c>
      <c r="T80" s="53"/>
      <c r="U80" s="100"/>
      <c r="V80" s="53"/>
      <c r="W80" s="59">
        <f t="shared" si="15"/>
        <v>172230</v>
      </c>
      <c r="X80" s="53"/>
      <c r="Y80" s="8">
        <v>11920.81</v>
      </c>
      <c r="Z80" s="8">
        <f t="shared" si="17"/>
        <v>-160309.19</v>
      </c>
      <c r="AA80" s="2">
        <v>11870</v>
      </c>
      <c r="AD80" s="162"/>
    </row>
    <row r="81" spans="1:30" s="1" customFormat="1" ht="12" customHeight="1">
      <c r="A81" s="6" t="s">
        <v>97</v>
      </c>
      <c r="B81" s="6" t="s">
        <v>18</v>
      </c>
      <c r="C81" s="6" t="s">
        <v>128</v>
      </c>
      <c r="D81" s="15" t="s">
        <v>129</v>
      </c>
      <c r="E81" s="16"/>
      <c r="F81" s="53"/>
      <c r="G81" s="2">
        <v>35533</v>
      </c>
      <c r="H81" s="53"/>
      <c r="I81" s="10">
        <v>8350</v>
      </c>
      <c r="J81" s="2">
        <v>8349</v>
      </c>
      <c r="K81" s="58">
        <f t="shared" si="16"/>
        <v>1</v>
      </c>
      <c r="L81" s="53"/>
      <c r="M81" s="10">
        <v>8111</v>
      </c>
      <c r="N81" s="2">
        <v>5408</v>
      </c>
      <c r="O81" s="58">
        <f t="shared" si="13"/>
        <v>2703</v>
      </c>
      <c r="P81" s="53"/>
      <c r="Q81" s="10"/>
      <c r="R81" s="10"/>
      <c r="S81" s="98">
        <f t="shared" si="14"/>
        <v>0</v>
      </c>
      <c r="T81" s="53"/>
      <c r="U81" s="100"/>
      <c r="V81" s="53"/>
      <c r="W81" s="59">
        <f t="shared" si="15"/>
        <v>49290</v>
      </c>
      <c r="X81" s="53"/>
      <c r="Y81" s="8">
        <v>30690.18</v>
      </c>
      <c r="Z81" s="8">
        <f t="shared" si="17"/>
        <v>-18599.82</v>
      </c>
      <c r="AA81" s="2">
        <v>5680</v>
      </c>
      <c r="AD81" s="162"/>
    </row>
    <row r="82" spans="1:30" s="1" customFormat="1" ht="12" customHeight="1">
      <c r="A82" s="6" t="s">
        <v>97</v>
      </c>
      <c r="B82" s="6" t="s">
        <v>18</v>
      </c>
      <c r="C82" s="6" t="s">
        <v>130</v>
      </c>
      <c r="D82" s="15" t="s">
        <v>131</v>
      </c>
      <c r="E82" s="16"/>
      <c r="F82" s="53"/>
      <c r="G82" s="2">
        <v>295021</v>
      </c>
      <c r="H82" s="53"/>
      <c r="I82" s="10">
        <v>25000</v>
      </c>
      <c r="J82" s="2">
        <v>25484</v>
      </c>
      <c r="K82" s="58">
        <f t="shared" si="16"/>
        <v>-484</v>
      </c>
      <c r="L82" s="53"/>
      <c r="M82" s="10">
        <v>78476</v>
      </c>
      <c r="N82" s="2">
        <v>78259</v>
      </c>
      <c r="O82" s="58">
        <f t="shared" si="13"/>
        <v>217</v>
      </c>
      <c r="P82" s="53"/>
      <c r="Q82" s="10">
        <v>52976</v>
      </c>
      <c r="R82" s="10">
        <v>52125</v>
      </c>
      <c r="S82" s="98">
        <f t="shared" si="14"/>
        <v>851</v>
      </c>
      <c r="T82" s="53"/>
      <c r="U82" s="100"/>
      <c r="V82" s="53"/>
      <c r="W82" s="59">
        <f t="shared" si="15"/>
        <v>450889</v>
      </c>
      <c r="X82" s="53"/>
      <c r="Y82" s="8">
        <v>173598.27</v>
      </c>
      <c r="Z82" s="8">
        <f t="shared" si="17"/>
        <v>-277290.73</v>
      </c>
      <c r="AA82" s="2">
        <v>195059</v>
      </c>
      <c r="AD82" s="162"/>
    </row>
    <row r="83" spans="1:30" s="1" customFormat="1" ht="12" customHeight="1">
      <c r="A83" s="6" t="s">
        <v>97</v>
      </c>
      <c r="B83" s="6" t="s">
        <v>18</v>
      </c>
      <c r="C83" s="6" t="s">
        <v>132</v>
      </c>
      <c r="D83" s="15" t="s">
        <v>133</v>
      </c>
      <c r="E83" s="16"/>
      <c r="F83" s="53"/>
      <c r="G83" s="2">
        <v>99540</v>
      </c>
      <c r="H83" s="53"/>
      <c r="I83" s="10">
        <v>7900</v>
      </c>
      <c r="J83" s="2">
        <v>7700</v>
      </c>
      <c r="K83" s="58">
        <f t="shared" si="16"/>
        <v>200</v>
      </c>
      <c r="L83" s="53"/>
      <c r="M83" s="10">
        <v>26675</v>
      </c>
      <c r="N83" s="2">
        <v>27444</v>
      </c>
      <c r="O83" s="58">
        <f t="shared" si="13"/>
        <v>-769</v>
      </c>
      <c r="P83" s="53"/>
      <c r="Q83" s="10"/>
      <c r="R83" s="10"/>
      <c r="S83" s="98">
        <f t="shared" si="14"/>
        <v>0</v>
      </c>
      <c r="T83" s="53"/>
      <c r="U83" s="100"/>
      <c r="V83" s="53"/>
      <c r="W83" s="59">
        <f t="shared" si="15"/>
        <v>134684</v>
      </c>
      <c r="X83" s="53"/>
      <c r="Y83" s="8">
        <v>35495.410000000003</v>
      </c>
      <c r="Z83" s="8">
        <f t="shared" si="17"/>
        <v>-99188.59</v>
      </c>
      <c r="AA83" s="2">
        <v>49850</v>
      </c>
      <c r="AD83" s="162"/>
    </row>
    <row r="84" spans="1:30" s="1" customFormat="1" ht="12" customHeight="1">
      <c r="A84" s="6" t="s">
        <v>97</v>
      </c>
      <c r="B84" s="6" t="s">
        <v>18</v>
      </c>
      <c r="C84" s="6" t="s">
        <v>134</v>
      </c>
      <c r="D84" s="15" t="s">
        <v>135</v>
      </c>
      <c r="E84" s="16"/>
      <c r="F84" s="53"/>
      <c r="G84" s="2">
        <v>436776</v>
      </c>
      <c r="H84" s="53"/>
      <c r="I84" s="10">
        <v>8000</v>
      </c>
      <c r="J84" s="2">
        <v>7996</v>
      </c>
      <c r="K84" s="58">
        <f t="shared" si="16"/>
        <v>4</v>
      </c>
      <c r="L84" s="53"/>
      <c r="M84" s="10">
        <v>131500</v>
      </c>
      <c r="N84" s="2">
        <v>126970</v>
      </c>
      <c r="O84" s="58">
        <f t="shared" si="13"/>
        <v>4530</v>
      </c>
      <c r="P84" s="53"/>
      <c r="Q84" s="10">
        <v>100100</v>
      </c>
      <c r="R84" s="10">
        <v>100121</v>
      </c>
      <c r="S84" s="98">
        <f t="shared" si="14"/>
        <v>-21</v>
      </c>
      <c r="T84" s="53"/>
      <c r="U84" s="100"/>
      <c r="V84" s="53"/>
      <c r="W84" s="59">
        <f t="shared" si="15"/>
        <v>671863</v>
      </c>
      <c r="X84" s="53"/>
      <c r="Y84" s="8">
        <v>123651.28</v>
      </c>
      <c r="Z84" s="8">
        <f t="shared" si="17"/>
        <v>-548211.72</v>
      </c>
      <c r="AA84" s="10">
        <v>62813</v>
      </c>
      <c r="AD84" s="162"/>
    </row>
    <row r="85" spans="1:30" s="1" customFormat="1" ht="12" customHeight="1">
      <c r="A85" s="6" t="s">
        <v>97</v>
      </c>
      <c r="B85" s="6" t="s">
        <v>18</v>
      </c>
      <c r="C85" s="6" t="s">
        <v>136</v>
      </c>
      <c r="D85" s="15" t="s">
        <v>137</v>
      </c>
      <c r="E85" s="16"/>
      <c r="F85" s="53"/>
      <c r="G85" s="2">
        <v>109179</v>
      </c>
      <c r="H85" s="53"/>
      <c r="I85" s="10">
        <v>7000</v>
      </c>
      <c r="J85" s="2">
        <v>8797</v>
      </c>
      <c r="K85" s="58">
        <f t="shared" si="16"/>
        <v>-1797</v>
      </c>
      <c r="L85" s="53"/>
      <c r="M85" s="10">
        <v>37150</v>
      </c>
      <c r="N85" s="2">
        <v>36925</v>
      </c>
      <c r="O85" s="58">
        <f t="shared" si="13"/>
        <v>225</v>
      </c>
      <c r="P85" s="53"/>
      <c r="Q85" s="10">
        <v>4000</v>
      </c>
      <c r="R85" s="10">
        <v>4000</v>
      </c>
      <c r="S85" s="98">
        <f t="shared" si="14"/>
        <v>0</v>
      </c>
      <c r="T85" s="53"/>
      <c r="U85" s="100">
        <v>3057</v>
      </c>
      <c r="V85" s="53"/>
      <c r="W85" s="59">
        <f t="shared" si="15"/>
        <v>161958</v>
      </c>
      <c r="X85" s="53"/>
      <c r="Y85" s="8">
        <v>69820.44</v>
      </c>
      <c r="Z85" s="8">
        <f t="shared" si="17"/>
        <v>-92137.56</v>
      </c>
      <c r="AA85" s="2">
        <v>28713</v>
      </c>
      <c r="AD85" s="162"/>
    </row>
    <row r="86" spans="1:30" s="1" customFormat="1" ht="12" customHeight="1">
      <c r="A86" s="6" t="s">
        <v>97</v>
      </c>
      <c r="B86" s="6" t="s">
        <v>18</v>
      </c>
      <c r="C86" s="6" t="s">
        <v>138</v>
      </c>
      <c r="D86" s="15" t="s">
        <v>139</v>
      </c>
      <c r="E86" s="16"/>
      <c r="F86" s="53"/>
      <c r="G86" s="2">
        <v>21669</v>
      </c>
      <c r="H86" s="53"/>
      <c r="I86" s="10">
        <v>8600</v>
      </c>
      <c r="J86" s="2">
        <v>8457</v>
      </c>
      <c r="K86" s="58">
        <f t="shared" si="16"/>
        <v>143</v>
      </c>
      <c r="L86" s="53"/>
      <c r="M86" s="10">
        <v>34015</v>
      </c>
      <c r="N86" s="2">
        <v>32032</v>
      </c>
      <c r="O86" s="58">
        <f t="shared" si="13"/>
        <v>1983</v>
      </c>
      <c r="P86" s="53"/>
      <c r="Q86" s="10"/>
      <c r="R86" s="10"/>
      <c r="S86" s="98">
        <f t="shared" si="14"/>
        <v>0</v>
      </c>
      <c r="T86" s="53"/>
      <c r="U86" s="100"/>
      <c r="V86" s="53"/>
      <c r="W86" s="59">
        <f t="shared" si="15"/>
        <v>62158</v>
      </c>
      <c r="X86" s="53"/>
      <c r="Y86" s="8">
        <v>739</v>
      </c>
      <c r="Z86" s="8">
        <f t="shared" si="17"/>
        <v>-61419</v>
      </c>
      <c r="AA86" s="2">
        <v>2949</v>
      </c>
      <c r="AD86" s="162"/>
    </row>
    <row r="87" spans="1:30" s="1" customFormat="1" ht="12" customHeight="1">
      <c r="A87" s="6" t="s">
        <v>97</v>
      </c>
      <c r="B87" s="6" t="s">
        <v>18</v>
      </c>
      <c r="C87" s="6" t="s">
        <v>140</v>
      </c>
      <c r="D87" s="15" t="s">
        <v>141</v>
      </c>
      <c r="E87" s="16"/>
      <c r="F87" s="53"/>
      <c r="G87" s="2">
        <v>92047</v>
      </c>
      <c r="H87" s="53"/>
      <c r="I87" s="10">
        <v>5200</v>
      </c>
      <c r="J87" s="2">
        <v>5304</v>
      </c>
      <c r="K87" s="58">
        <f t="shared" si="16"/>
        <v>-104</v>
      </c>
      <c r="L87" s="53"/>
      <c r="M87" s="10">
        <v>19150</v>
      </c>
      <c r="N87" s="2">
        <v>18413</v>
      </c>
      <c r="O87" s="58">
        <f t="shared" si="13"/>
        <v>737</v>
      </c>
      <c r="P87" s="53"/>
      <c r="Q87" s="10"/>
      <c r="R87" s="10"/>
      <c r="S87" s="98">
        <f t="shared" si="14"/>
        <v>0</v>
      </c>
      <c r="T87" s="53"/>
      <c r="U87" s="100"/>
      <c r="V87" s="53"/>
      <c r="W87" s="59">
        <f t="shared" si="15"/>
        <v>115764</v>
      </c>
      <c r="X87" s="53"/>
      <c r="Y87" s="8">
        <v>0</v>
      </c>
      <c r="Z87" s="8">
        <f t="shared" si="17"/>
        <v>-115764</v>
      </c>
      <c r="AA87" s="2">
        <v>26642</v>
      </c>
      <c r="AD87" s="162"/>
    </row>
    <row r="88" spans="1:30" s="1" customFormat="1" ht="12" customHeight="1">
      <c r="A88" s="6" t="s">
        <v>97</v>
      </c>
      <c r="B88" s="6" t="s">
        <v>18</v>
      </c>
      <c r="C88" s="6" t="s">
        <v>142</v>
      </c>
      <c r="D88" s="15" t="s">
        <v>143</v>
      </c>
      <c r="E88" s="16"/>
      <c r="F88" s="53"/>
      <c r="G88" s="2">
        <v>44394</v>
      </c>
      <c r="H88" s="53"/>
      <c r="I88" s="10">
        <v>12550</v>
      </c>
      <c r="J88" s="2">
        <v>12458</v>
      </c>
      <c r="K88" s="58">
        <f t="shared" si="16"/>
        <v>92</v>
      </c>
      <c r="L88" s="53"/>
      <c r="M88" s="10">
        <v>30000</v>
      </c>
      <c r="N88" s="2">
        <v>29263</v>
      </c>
      <c r="O88" s="58">
        <f t="shared" si="13"/>
        <v>737</v>
      </c>
      <c r="P88" s="53"/>
      <c r="Q88" s="10">
        <v>18978</v>
      </c>
      <c r="R88" s="10">
        <v>18878</v>
      </c>
      <c r="S88" s="98">
        <f t="shared" si="14"/>
        <v>100</v>
      </c>
      <c r="T88" s="53"/>
      <c r="U88" s="100"/>
      <c r="V88" s="53"/>
      <c r="W88" s="59">
        <f t="shared" si="15"/>
        <v>104993</v>
      </c>
      <c r="X88" s="53"/>
      <c r="Y88" s="8">
        <v>335.53</v>
      </c>
      <c r="Z88" s="8">
        <f t="shared" si="17"/>
        <v>-104657.47</v>
      </c>
      <c r="AA88" s="2">
        <v>111557</v>
      </c>
      <c r="AD88" s="162"/>
    </row>
    <row r="89" spans="1:30" s="1" customFormat="1" ht="12" customHeight="1">
      <c r="A89" s="6" t="s">
        <v>97</v>
      </c>
      <c r="B89" s="6" t="s">
        <v>18</v>
      </c>
      <c r="C89" s="17" t="s">
        <v>144</v>
      </c>
      <c r="D89" s="15" t="s">
        <v>145</v>
      </c>
      <c r="E89" s="16"/>
      <c r="F89" s="53"/>
      <c r="G89" s="2"/>
      <c r="H89" s="53"/>
      <c r="I89" s="10"/>
      <c r="J89" s="2"/>
      <c r="K89" s="58">
        <f t="shared" si="16"/>
        <v>0</v>
      </c>
      <c r="L89" s="53"/>
      <c r="M89" s="10"/>
      <c r="N89" s="2"/>
      <c r="O89" s="58">
        <f t="shared" si="13"/>
        <v>0</v>
      </c>
      <c r="P89" s="53"/>
      <c r="Q89" s="10"/>
      <c r="R89" s="10"/>
      <c r="S89" s="98">
        <f t="shared" si="14"/>
        <v>0</v>
      </c>
      <c r="T89" s="53"/>
      <c r="U89" s="100"/>
      <c r="V89" s="53"/>
      <c r="W89" s="59">
        <f t="shared" si="15"/>
        <v>0</v>
      </c>
      <c r="X89" s="53"/>
      <c r="Y89" s="8"/>
      <c r="Z89" s="8"/>
      <c r="AA89" s="2">
        <v>31394</v>
      </c>
      <c r="AD89" s="162"/>
    </row>
    <row r="90" spans="1:30" s="1" customFormat="1" ht="6" customHeight="1">
      <c r="A90" s="38"/>
      <c r="B90" s="38"/>
      <c r="C90" s="38"/>
      <c r="D90" s="39"/>
      <c r="E90" s="40"/>
      <c r="F90" s="53"/>
      <c r="G90" s="41"/>
      <c r="H90" s="53"/>
      <c r="I90" s="42"/>
      <c r="J90" s="41"/>
      <c r="K90" s="43"/>
      <c r="L90" s="53"/>
      <c r="M90" s="42"/>
      <c r="N90" s="41"/>
      <c r="O90" s="113">
        <f t="shared" si="13"/>
        <v>0</v>
      </c>
      <c r="P90" s="53"/>
      <c r="Q90" s="42"/>
      <c r="R90" s="42"/>
      <c r="S90" s="118">
        <f t="shared" si="14"/>
        <v>0</v>
      </c>
      <c r="T90" s="53"/>
      <c r="U90" s="103"/>
      <c r="V90" s="53"/>
      <c r="W90" s="121">
        <f t="shared" si="15"/>
        <v>0</v>
      </c>
      <c r="X90" s="53"/>
      <c r="Y90" s="44"/>
      <c r="Z90" s="44"/>
      <c r="AA90" s="41"/>
      <c r="AD90" s="162"/>
    </row>
    <row r="91" spans="1:30" s="1" customFormat="1" ht="12" customHeight="1">
      <c r="A91" s="6" t="s">
        <v>97</v>
      </c>
      <c r="B91" s="6">
        <v>12</v>
      </c>
      <c r="C91" s="6" t="s">
        <v>58</v>
      </c>
      <c r="D91" s="18" t="s">
        <v>423</v>
      </c>
      <c r="E91" s="16"/>
      <c r="F91" s="53"/>
      <c r="G91" s="2">
        <v>121292</v>
      </c>
      <c r="H91" s="53"/>
      <c r="I91" s="10">
        <v>1741</v>
      </c>
      <c r="J91" s="2">
        <v>1741</v>
      </c>
      <c r="K91" s="58">
        <f>SUM(I91-J91)</f>
        <v>0</v>
      </c>
      <c r="L91" s="53"/>
      <c r="M91" s="2">
        <v>10</v>
      </c>
      <c r="N91" s="2">
        <v>13</v>
      </c>
      <c r="O91" s="58">
        <f t="shared" si="13"/>
        <v>-3</v>
      </c>
      <c r="P91" s="53"/>
      <c r="Q91" s="10"/>
      <c r="R91" s="10"/>
      <c r="S91" s="98">
        <f t="shared" si="14"/>
        <v>0</v>
      </c>
      <c r="T91" s="53"/>
      <c r="U91" s="100"/>
      <c r="V91" s="53"/>
      <c r="W91" s="59">
        <f t="shared" si="15"/>
        <v>123046</v>
      </c>
      <c r="X91" s="53"/>
      <c r="Y91" s="8"/>
      <c r="Z91" s="8">
        <f>SUM(Y91-W91)</f>
        <v>-123046</v>
      </c>
      <c r="AA91" s="2"/>
      <c r="AD91" s="162"/>
    </row>
    <row r="92" spans="1:30" s="1" customFormat="1" ht="12" customHeight="1">
      <c r="A92" s="6" t="s">
        <v>97</v>
      </c>
      <c r="B92" s="6">
        <v>12</v>
      </c>
      <c r="C92" s="6" t="s">
        <v>146</v>
      </c>
      <c r="D92" s="15" t="s">
        <v>147</v>
      </c>
      <c r="E92" s="16"/>
      <c r="F92" s="53"/>
      <c r="G92" s="2">
        <v>117429</v>
      </c>
      <c r="H92" s="53"/>
      <c r="I92" s="10">
        <v>19770</v>
      </c>
      <c r="J92" s="2">
        <v>20685</v>
      </c>
      <c r="K92" s="58">
        <f>SUM(I92-J92)</f>
        <v>-915</v>
      </c>
      <c r="L92" s="53"/>
      <c r="M92" s="10">
        <v>33463</v>
      </c>
      <c r="N92" s="2">
        <v>32970</v>
      </c>
      <c r="O92" s="58">
        <f t="shared" si="13"/>
        <v>493</v>
      </c>
      <c r="P92" s="53"/>
      <c r="Q92" s="10">
        <v>11605</v>
      </c>
      <c r="R92" s="10">
        <v>10645</v>
      </c>
      <c r="S92" s="98">
        <f t="shared" si="14"/>
        <v>960</v>
      </c>
      <c r="T92" s="53"/>
      <c r="U92" s="100"/>
      <c r="V92" s="53"/>
      <c r="W92" s="59">
        <f t="shared" si="15"/>
        <v>181729</v>
      </c>
      <c r="X92" s="53"/>
      <c r="Y92" s="8">
        <v>6280.4</v>
      </c>
      <c r="Z92" s="8">
        <f>SUM(Y92-W92)</f>
        <v>-175448.6</v>
      </c>
      <c r="AA92" s="2">
        <v>8983</v>
      </c>
      <c r="AD92" s="162"/>
    </row>
    <row r="93" spans="1:30" s="1" customFormat="1" ht="12" customHeight="1">
      <c r="A93" s="6" t="s">
        <v>97</v>
      </c>
      <c r="B93" s="6">
        <v>12</v>
      </c>
      <c r="C93" s="6" t="s">
        <v>148</v>
      </c>
      <c r="D93" s="12" t="s">
        <v>149</v>
      </c>
      <c r="E93" s="13"/>
      <c r="F93" s="53"/>
      <c r="G93" s="2">
        <v>226198</v>
      </c>
      <c r="H93" s="53"/>
      <c r="I93" s="10">
        <v>11620</v>
      </c>
      <c r="J93" s="2">
        <v>10085</v>
      </c>
      <c r="K93" s="58">
        <f>SUM(I93-J93)</f>
        <v>1535</v>
      </c>
      <c r="L93" s="53"/>
      <c r="M93" s="2">
        <v>90341</v>
      </c>
      <c r="N93" s="2">
        <v>92321</v>
      </c>
      <c r="O93" s="58">
        <f t="shared" si="13"/>
        <v>-1980</v>
      </c>
      <c r="P93" s="53"/>
      <c r="Q93" s="10">
        <v>26005</v>
      </c>
      <c r="R93" s="10">
        <v>25676</v>
      </c>
      <c r="S93" s="98">
        <f t="shared" si="14"/>
        <v>329</v>
      </c>
      <c r="T93" s="53"/>
      <c r="U93" s="100">
        <v>1755</v>
      </c>
      <c r="V93" s="53"/>
      <c r="W93" s="59">
        <f t="shared" si="15"/>
        <v>356035</v>
      </c>
      <c r="X93" s="53"/>
      <c r="Y93" s="8">
        <v>144728.5</v>
      </c>
      <c r="Z93" s="8">
        <f>SUM(Y93-W93)</f>
        <v>-211306.5</v>
      </c>
      <c r="AA93" s="2">
        <v>47250</v>
      </c>
      <c r="AD93" s="162"/>
    </row>
    <row r="94" spans="1:30" s="1" customFormat="1" ht="13.5" customHeight="1">
      <c r="A94" s="6" t="s">
        <v>97</v>
      </c>
      <c r="B94" s="6">
        <v>12</v>
      </c>
      <c r="C94" s="6">
        <v>117</v>
      </c>
      <c r="D94" s="15" t="s">
        <v>150</v>
      </c>
      <c r="E94" s="16"/>
      <c r="F94" s="53"/>
      <c r="G94" s="2"/>
      <c r="H94" s="53"/>
      <c r="I94" s="10"/>
      <c r="J94" s="2"/>
      <c r="K94" s="58">
        <f>SUM(I94-J94)</f>
        <v>0</v>
      </c>
      <c r="L94" s="53"/>
      <c r="M94" s="2"/>
      <c r="N94" s="2"/>
      <c r="O94" s="58">
        <f t="shared" si="13"/>
        <v>0</v>
      </c>
      <c r="P94" s="53"/>
      <c r="Q94" s="10"/>
      <c r="R94" s="10"/>
      <c r="S94" s="98">
        <f t="shared" si="14"/>
        <v>0</v>
      </c>
      <c r="T94" s="53"/>
      <c r="U94" s="100"/>
      <c r="V94" s="53"/>
      <c r="W94" s="59">
        <f t="shared" si="15"/>
        <v>0</v>
      </c>
      <c r="X94" s="53"/>
      <c r="Y94" s="8"/>
      <c r="Z94" s="8"/>
      <c r="AA94" s="2">
        <v>2959</v>
      </c>
      <c r="AD94" s="162"/>
    </row>
    <row r="95" spans="1:30" s="32" customFormat="1" ht="13.65" customHeight="1">
      <c r="A95" s="19"/>
      <c r="B95" s="19"/>
      <c r="C95" s="19"/>
      <c r="D95" s="46" t="s">
        <v>424</v>
      </c>
      <c r="E95" s="4">
        <f>SUM(E91:E94)</f>
        <v>0</v>
      </c>
      <c r="F95" s="35"/>
      <c r="G95" s="5">
        <f>SUM(G91:G94)</f>
        <v>464919</v>
      </c>
      <c r="H95" s="35"/>
      <c r="I95" s="5">
        <f>SUM(I91:I94)</f>
        <v>33131</v>
      </c>
      <c r="J95" s="5">
        <f>SUM(J91:J94)</f>
        <v>32511</v>
      </c>
      <c r="K95" s="5">
        <f>SUM(K91:K94)</f>
        <v>620</v>
      </c>
      <c r="L95" s="35"/>
      <c r="M95" s="5">
        <f>SUM(M91:M94)</f>
        <v>123814</v>
      </c>
      <c r="N95" s="5">
        <f>SUM(N91:N94)</f>
        <v>125304</v>
      </c>
      <c r="O95" s="114">
        <f t="shared" si="13"/>
        <v>-1490</v>
      </c>
      <c r="P95" s="35"/>
      <c r="Q95" s="5">
        <f>SUM(Q91:Q94)</f>
        <v>37610</v>
      </c>
      <c r="R95" s="5">
        <f>SUM(R91:R94)</f>
        <v>36321</v>
      </c>
      <c r="S95" s="120">
        <f t="shared" si="14"/>
        <v>1289</v>
      </c>
      <c r="T95" s="35"/>
      <c r="U95" s="5">
        <f>SUM(U91:U94)</f>
        <v>1755</v>
      </c>
      <c r="V95" s="35"/>
      <c r="W95" s="122">
        <f t="shared" si="15"/>
        <v>660810</v>
      </c>
      <c r="X95" s="35"/>
      <c r="Y95" s="5">
        <f>SUM(Y91:Y94)</f>
        <v>151008.9</v>
      </c>
      <c r="Z95" s="5">
        <f>SUM(Z91:Z94)</f>
        <v>-509801.1</v>
      </c>
      <c r="AA95" s="5">
        <f>SUM(AA91:AA94)</f>
        <v>59192</v>
      </c>
      <c r="AD95" s="164"/>
    </row>
    <row r="96" spans="1:30" s="1" customFormat="1" ht="6" customHeight="1">
      <c r="A96" s="38"/>
      <c r="B96" s="38"/>
      <c r="C96" s="38"/>
      <c r="D96" s="39"/>
      <c r="E96" s="40"/>
      <c r="F96" s="53"/>
      <c r="G96" s="41"/>
      <c r="H96" s="53"/>
      <c r="I96" s="42"/>
      <c r="J96" s="41"/>
      <c r="K96" s="43"/>
      <c r="L96" s="53"/>
      <c r="M96" s="42"/>
      <c r="N96" s="41"/>
      <c r="O96" s="113">
        <f t="shared" si="13"/>
        <v>0</v>
      </c>
      <c r="P96" s="53"/>
      <c r="Q96" s="42"/>
      <c r="R96" s="42"/>
      <c r="S96" s="118">
        <f t="shared" si="14"/>
        <v>0</v>
      </c>
      <c r="T96" s="53"/>
      <c r="U96" s="103"/>
      <c r="V96" s="53"/>
      <c r="W96" s="121">
        <f t="shared" si="15"/>
        <v>0</v>
      </c>
      <c r="X96" s="53"/>
      <c r="Y96" s="44"/>
      <c r="Z96" s="44"/>
      <c r="AA96" s="41"/>
      <c r="AD96" s="162"/>
    </row>
    <row r="97" spans="1:30" s="1" customFormat="1" ht="12" customHeight="1">
      <c r="A97" s="6" t="s">
        <v>97</v>
      </c>
      <c r="B97" s="6">
        <v>13</v>
      </c>
      <c r="C97" s="17" t="s">
        <v>58</v>
      </c>
      <c r="D97" s="5" t="s">
        <v>425</v>
      </c>
      <c r="E97" s="11"/>
      <c r="F97" s="53"/>
      <c r="G97" s="2">
        <v>193233</v>
      </c>
      <c r="H97" s="53"/>
      <c r="I97" s="2"/>
      <c r="J97" s="2"/>
      <c r="K97" s="58">
        <f>SUM(I97-J97)</f>
        <v>0</v>
      </c>
      <c r="L97" s="53"/>
      <c r="M97" s="2">
        <v>4000</v>
      </c>
      <c r="N97" s="2">
        <v>3515</v>
      </c>
      <c r="O97" s="58">
        <f t="shared" si="13"/>
        <v>485</v>
      </c>
      <c r="P97" s="53"/>
      <c r="Q97" s="10"/>
      <c r="R97" s="10"/>
      <c r="S97" s="98">
        <f t="shared" si="14"/>
        <v>0</v>
      </c>
      <c r="T97" s="53"/>
      <c r="U97" s="100"/>
      <c r="V97" s="53"/>
      <c r="W97" s="59">
        <f t="shared" si="15"/>
        <v>196748</v>
      </c>
      <c r="X97" s="53"/>
      <c r="Y97" s="8"/>
      <c r="Z97" s="8">
        <f>SUM(Y97-W97)</f>
        <v>-196748</v>
      </c>
      <c r="AA97" s="2"/>
      <c r="AD97" s="162"/>
    </row>
    <row r="98" spans="1:30" s="1" customFormat="1" ht="12" customHeight="1">
      <c r="A98" s="6" t="s">
        <v>97</v>
      </c>
      <c r="B98" s="6">
        <v>13</v>
      </c>
      <c r="C98" s="6">
        <v>241</v>
      </c>
      <c r="D98" s="15" t="s">
        <v>151</v>
      </c>
      <c r="E98" s="16"/>
      <c r="F98" s="53"/>
      <c r="G98" s="2">
        <v>78814</v>
      </c>
      <c r="H98" s="53"/>
      <c r="I98" s="10">
        <v>17500</v>
      </c>
      <c r="J98" s="2">
        <v>15704</v>
      </c>
      <c r="K98" s="58">
        <f>SUM(I98-J98)</f>
        <v>1796</v>
      </c>
      <c r="L98" s="53"/>
      <c r="M98" s="2">
        <v>26650</v>
      </c>
      <c r="N98" s="2">
        <v>26838</v>
      </c>
      <c r="O98" s="58">
        <f t="shared" si="13"/>
        <v>-188</v>
      </c>
      <c r="P98" s="53"/>
      <c r="Q98" s="10">
        <v>11045</v>
      </c>
      <c r="R98" s="10">
        <v>11390</v>
      </c>
      <c r="S98" s="98">
        <f t="shared" si="14"/>
        <v>-345</v>
      </c>
      <c r="T98" s="53"/>
      <c r="U98" s="100"/>
      <c r="V98" s="53"/>
      <c r="W98" s="59">
        <f t="shared" si="15"/>
        <v>132746</v>
      </c>
      <c r="X98" s="53"/>
      <c r="Y98" s="8">
        <v>56916.32</v>
      </c>
      <c r="Z98" s="8">
        <f>SUM(Y98-W98)</f>
        <v>-75829.679999999993</v>
      </c>
      <c r="AA98" s="2">
        <v>230642</v>
      </c>
      <c r="AD98" s="162"/>
    </row>
    <row r="99" spans="1:30" s="1" customFormat="1" ht="12" customHeight="1">
      <c r="A99" s="6" t="s">
        <v>97</v>
      </c>
      <c r="B99" s="6">
        <v>13</v>
      </c>
      <c r="C99" s="6" t="s">
        <v>152</v>
      </c>
      <c r="D99" s="12" t="s">
        <v>153</v>
      </c>
      <c r="E99" s="13"/>
      <c r="F99" s="53"/>
      <c r="G99" s="2">
        <v>186272</v>
      </c>
      <c r="H99" s="53"/>
      <c r="I99" s="10">
        <v>25500</v>
      </c>
      <c r="J99" s="2">
        <v>27110</v>
      </c>
      <c r="K99" s="58">
        <f>SUM(I99-J99)</f>
        <v>-1610</v>
      </c>
      <c r="L99" s="53"/>
      <c r="M99" s="10">
        <v>82181</v>
      </c>
      <c r="N99" s="2">
        <v>88698</v>
      </c>
      <c r="O99" s="58">
        <f t="shared" si="13"/>
        <v>-6517</v>
      </c>
      <c r="P99" s="53"/>
      <c r="Q99" s="10">
        <v>18390</v>
      </c>
      <c r="R99" s="10">
        <v>20219</v>
      </c>
      <c r="S99" s="98">
        <f t="shared" si="14"/>
        <v>-1829</v>
      </c>
      <c r="T99" s="53"/>
      <c r="U99" s="100">
        <v>9580</v>
      </c>
      <c r="V99" s="53"/>
      <c r="W99" s="59">
        <f t="shared" si="15"/>
        <v>331879</v>
      </c>
      <c r="X99" s="53"/>
      <c r="Y99" s="8">
        <v>293847.28000000003</v>
      </c>
      <c r="Z99" s="8">
        <f>SUM(Y99-W99)</f>
        <v>-38031.719999999972</v>
      </c>
      <c r="AA99" s="2">
        <v>129149</v>
      </c>
      <c r="AD99" s="162"/>
    </row>
    <row r="100" spans="1:30" s="1" customFormat="1" ht="12" customHeight="1">
      <c r="A100" s="6" t="s">
        <v>97</v>
      </c>
      <c r="B100" s="6">
        <v>13</v>
      </c>
      <c r="C100" s="6">
        <v>253</v>
      </c>
      <c r="D100" s="15" t="s">
        <v>154</v>
      </c>
      <c r="E100" s="16"/>
      <c r="F100" s="53"/>
      <c r="G100" s="2"/>
      <c r="H100" s="53"/>
      <c r="I100" s="10">
        <v>13800</v>
      </c>
      <c r="J100" s="2">
        <v>13631</v>
      </c>
      <c r="K100" s="58">
        <f>SUM(I100-J100)</f>
        <v>169</v>
      </c>
      <c r="L100" s="53"/>
      <c r="M100" s="10">
        <v>19000</v>
      </c>
      <c r="N100" s="2">
        <v>19899</v>
      </c>
      <c r="O100" s="58">
        <f t="shared" si="13"/>
        <v>-899</v>
      </c>
      <c r="P100" s="53"/>
      <c r="Q100" s="10">
        <v>10965</v>
      </c>
      <c r="R100" s="10">
        <v>10695</v>
      </c>
      <c r="S100" s="98">
        <f t="shared" si="14"/>
        <v>270</v>
      </c>
      <c r="T100" s="53"/>
      <c r="U100" s="100"/>
      <c r="V100" s="53"/>
      <c r="W100" s="59">
        <f t="shared" si="15"/>
        <v>44225</v>
      </c>
      <c r="X100" s="53"/>
      <c r="Y100" s="8"/>
      <c r="Z100" s="8">
        <f>SUM(Y100-W100)</f>
        <v>-44225</v>
      </c>
      <c r="AA100" s="2">
        <v>81026</v>
      </c>
      <c r="AD100" s="162"/>
    </row>
    <row r="101" spans="1:30" s="32" customFormat="1" ht="12" customHeight="1">
      <c r="A101" s="19"/>
      <c r="B101" s="19"/>
      <c r="C101" s="19"/>
      <c r="D101" s="125" t="s">
        <v>426</v>
      </c>
      <c r="E101" s="23">
        <f>SUM(E97:E100)</f>
        <v>0</v>
      </c>
      <c r="F101" s="35"/>
      <c r="G101" s="5">
        <f>SUM(G97:G100)</f>
        <v>458319</v>
      </c>
      <c r="H101" s="35"/>
      <c r="I101" s="5">
        <f>SUM(I97:I100)</f>
        <v>56800</v>
      </c>
      <c r="J101" s="5">
        <f>SUM(J97:J100)</f>
        <v>56445</v>
      </c>
      <c r="K101" s="5">
        <f>SUM(K97:K100)</f>
        <v>355</v>
      </c>
      <c r="L101" s="35"/>
      <c r="M101" s="5">
        <f>SUM(M97:M100)</f>
        <v>131831</v>
      </c>
      <c r="N101" s="5">
        <f>SUM(N97:N100)</f>
        <v>138950</v>
      </c>
      <c r="O101" s="114">
        <f t="shared" si="13"/>
        <v>-7119</v>
      </c>
      <c r="P101" s="35"/>
      <c r="Q101" s="5">
        <f>SUM(Q97:Q100)</f>
        <v>40400</v>
      </c>
      <c r="R101" s="5">
        <f>SUM(R97:R100)</f>
        <v>42304</v>
      </c>
      <c r="S101" s="120">
        <f t="shared" si="14"/>
        <v>-1904</v>
      </c>
      <c r="T101" s="35"/>
      <c r="U101" s="5">
        <f>SUM(U97:U100)</f>
        <v>9580</v>
      </c>
      <c r="V101" s="35"/>
      <c r="W101" s="122">
        <f t="shared" si="15"/>
        <v>705598</v>
      </c>
      <c r="X101" s="35"/>
      <c r="Y101" s="5">
        <f>SUM(Y97:Y100)</f>
        <v>350763.60000000003</v>
      </c>
      <c r="Z101" s="5">
        <f>SUM(Z97:Z100)</f>
        <v>-354834.39999999997</v>
      </c>
      <c r="AA101" s="5">
        <f>SUM(AA97:AA100)</f>
        <v>440817</v>
      </c>
      <c r="AD101" s="164"/>
    </row>
    <row r="102" spans="1:30" s="1" customFormat="1" ht="6" customHeight="1">
      <c r="A102" s="38"/>
      <c r="B102" s="38"/>
      <c r="C102" s="38"/>
      <c r="D102" s="39"/>
      <c r="E102" s="40"/>
      <c r="F102" s="53"/>
      <c r="G102" s="41"/>
      <c r="H102" s="53"/>
      <c r="I102" s="42"/>
      <c r="J102" s="41"/>
      <c r="K102" s="43"/>
      <c r="L102" s="53"/>
      <c r="M102" s="42"/>
      <c r="N102" s="41"/>
      <c r="O102" s="113">
        <f t="shared" si="13"/>
        <v>0</v>
      </c>
      <c r="P102" s="53"/>
      <c r="Q102" s="42"/>
      <c r="R102" s="42"/>
      <c r="S102" s="118">
        <f t="shared" si="14"/>
        <v>0</v>
      </c>
      <c r="T102" s="53"/>
      <c r="U102" s="103"/>
      <c r="V102" s="53"/>
      <c r="W102" s="121">
        <f t="shared" si="15"/>
        <v>0</v>
      </c>
      <c r="X102" s="53"/>
      <c r="Y102" s="44"/>
      <c r="Z102" s="44"/>
      <c r="AA102" s="41"/>
      <c r="AD102" s="162"/>
    </row>
    <row r="103" spans="1:30" s="1" customFormat="1" ht="12" customHeight="1">
      <c r="A103" s="6" t="s">
        <v>97</v>
      </c>
      <c r="B103" s="6" t="s">
        <v>155</v>
      </c>
      <c r="C103" s="6" t="s">
        <v>58</v>
      </c>
      <c r="D103" s="18" t="s">
        <v>421</v>
      </c>
      <c r="E103" s="16"/>
      <c r="F103" s="53"/>
      <c r="G103" s="2">
        <v>188811</v>
      </c>
      <c r="H103" s="53"/>
      <c r="I103" s="10"/>
      <c r="J103" s="2"/>
      <c r="K103" s="58">
        <f>SUM(I103-J103)</f>
        <v>0</v>
      </c>
      <c r="L103" s="53"/>
      <c r="M103" s="10">
        <v>960</v>
      </c>
      <c r="N103" s="2">
        <v>908</v>
      </c>
      <c r="O103" s="58">
        <f t="shared" si="13"/>
        <v>52</v>
      </c>
      <c r="P103" s="53"/>
      <c r="Q103" s="10"/>
      <c r="R103" s="10"/>
      <c r="S103" s="98">
        <f t="shared" si="14"/>
        <v>0</v>
      </c>
      <c r="T103" s="53"/>
      <c r="U103" s="100"/>
      <c r="V103" s="53"/>
      <c r="W103" s="59">
        <f t="shared" si="15"/>
        <v>189719</v>
      </c>
      <c r="X103" s="53"/>
      <c r="Y103" s="8"/>
      <c r="Z103" s="8">
        <f>SUM(Y103-W103)</f>
        <v>-189719</v>
      </c>
      <c r="AA103" s="2"/>
      <c r="AD103" s="162"/>
    </row>
    <row r="104" spans="1:30" s="1" customFormat="1" ht="12" customHeight="1">
      <c r="A104" s="6" t="s">
        <v>97</v>
      </c>
      <c r="B104" s="6" t="s">
        <v>155</v>
      </c>
      <c r="C104" s="17" t="s">
        <v>156</v>
      </c>
      <c r="D104" s="15" t="s">
        <v>157</v>
      </c>
      <c r="E104" s="16"/>
      <c r="F104" s="53"/>
      <c r="G104" s="2">
        <v>51325</v>
      </c>
      <c r="H104" s="53"/>
      <c r="I104" s="10">
        <v>29150</v>
      </c>
      <c r="J104" s="2">
        <v>29158</v>
      </c>
      <c r="K104" s="58">
        <f>SUM(I104-J104)</f>
        <v>-8</v>
      </c>
      <c r="L104" s="53"/>
      <c r="M104" s="10">
        <v>13946</v>
      </c>
      <c r="N104" s="2">
        <v>14229</v>
      </c>
      <c r="O104" s="58">
        <f t="shared" si="13"/>
        <v>-283</v>
      </c>
      <c r="P104" s="53"/>
      <c r="Q104" s="10"/>
      <c r="R104" s="10"/>
      <c r="S104" s="98">
        <f t="shared" si="14"/>
        <v>0</v>
      </c>
      <c r="T104" s="53"/>
      <c r="U104" s="100"/>
      <c r="V104" s="53"/>
      <c r="W104" s="59">
        <f t="shared" si="15"/>
        <v>94712</v>
      </c>
      <c r="X104" s="53"/>
      <c r="Y104" s="8">
        <v>81162.399999999994</v>
      </c>
      <c r="Z104" s="8">
        <f>SUM(Y104-W104)</f>
        <v>-13549.600000000006</v>
      </c>
      <c r="AA104" s="2">
        <v>141645</v>
      </c>
      <c r="AD104" s="162"/>
    </row>
    <row r="105" spans="1:30" s="1" customFormat="1" ht="12" customHeight="1">
      <c r="A105" s="6" t="s">
        <v>97</v>
      </c>
      <c r="B105" s="6" t="s">
        <v>155</v>
      </c>
      <c r="C105" s="6" t="s">
        <v>158</v>
      </c>
      <c r="D105" s="15" t="s">
        <v>159</v>
      </c>
      <c r="E105" s="16"/>
      <c r="F105" s="53"/>
      <c r="G105" s="2">
        <v>27978</v>
      </c>
      <c r="H105" s="53"/>
      <c r="I105" s="10">
        <v>6025</v>
      </c>
      <c r="J105" s="2">
        <v>6023</v>
      </c>
      <c r="K105" s="58">
        <f>SUM(I105-J105)</f>
        <v>2</v>
      </c>
      <c r="L105" s="53"/>
      <c r="M105" s="2">
        <v>9992</v>
      </c>
      <c r="N105" s="2">
        <v>9994</v>
      </c>
      <c r="O105" s="58">
        <f t="shared" si="13"/>
        <v>-2</v>
      </c>
      <c r="P105" s="53"/>
      <c r="Q105" s="10"/>
      <c r="R105" s="10"/>
      <c r="S105" s="98">
        <f t="shared" si="14"/>
        <v>0</v>
      </c>
      <c r="T105" s="53"/>
      <c r="U105" s="100"/>
      <c r="V105" s="53"/>
      <c r="W105" s="59">
        <f t="shared" si="15"/>
        <v>43995</v>
      </c>
      <c r="X105" s="53"/>
      <c r="Y105" s="8">
        <v>38546.199999999997</v>
      </c>
      <c r="Z105" s="8">
        <f>SUM(Y105-W105)</f>
        <v>-5448.8000000000029</v>
      </c>
      <c r="AA105" s="2">
        <v>229406</v>
      </c>
      <c r="AD105" s="162"/>
    </row>
    <row r="106" spans="1:30" s="1" customFormat="1" ht="12" customHeight="1">
      <c r="A106" s="6" t="s">
        <v>97</v>
      </c>
      <c r="B106" s="6" t="s">
        <v>155</v>
      </c>
      <c r="C106" s="6" t="s">
        <v>160</v>
      </c>
      <c r="D106" s="15" t="s">
        <v>161</v>
      </c>
      <c r="E106" s="16"/>
      <c r="F106" s="53"/>
      <c r="G106" s="2">
        <v>32785</v>
      </c>
      <c r="H106" s="53"/>
      <c r="I106" s="10"/>
      <c r="J106" s="2"/>
      <c r="K106" s="58">
        <f>SUM(I106-J106)</f>
        <v>0</v>
      </c>
      <c r="L106" s="53"/>
      <c r="M106" s="10">
        <v>7500</v>
      </c>
      <c r="N106" s="2">
        <v>7501</v>
      </c>
      <c r="O106" s="58">
        <f t="shared" si="13"/>
        <v>-1</v>
      </c>
      <c r="P106" s="53"/>
      <c r="Q106" s="10">
        <v>7500</v>
      </c>
      <c r="R106" s="10">
        <v>7500</v>
      </c>
      <c r="S106" s="98">
        <f t="shared" si="14"/>
        <v>0</v>
      </c>
      <c r="T106" s="53"/>
      <c r="U106" s="100"/>
      <c r="V106" s="53"/>
      <c r="W106" s="59">
        <f t="shared" si="15"/>
        <v>47786</v>
      </c>
      <c r="X106" s="53"/>
      <c r="Y106" s="8">
        <v>0</v>
      </c>
      <c r="Z106" s="8">
        <f>SUM(Y106-W106)</f>
        <v>-47786</v>
      </c>
      <c r="AA106" s="10">
        <v>33330</v>
      </c>
      <c r="AD106" s="162"/>
    </row>
    <row r="107" spans="1:30" s="1" customFormat="1" ht="12" customHeight="1">
      <c r="A107" s="6" t="s">
        <v>97</v>
      </c>
      <c r="B107" s="6" t="s">
        <v>155</v>
      </c>
      <c r="C107" s="6" t="s">
        <v>162</v>
      </c>
      <c r="D107" s="15" t="s">
        <v>163</v>
      </c>
      <c r="E107" s="16"/>
      <c r="F107" s="53"/>
      <c r="G107" s="2">
        <v>179740</v>
      </c>
      <c r="H107" s="53"/>
      <c r="I107" s="10">
        <v>28475</v>
      </c>
      <c r="J107" s="2">
        <v>28502</v>
      </c>
      <c r="K107" s="58">
        <f>SUM(I107-J107)</f>
        <v>-27</v>
      </c>
      <c r="L107" s="53"/>
      <c r="M107" s="10">
        <v>139233</v>
      </c>
      <c r="N107" s="2">
        <v>141240</v>
      </c>
      <c r="O107" s="58">
        <f t="shared" si="13"/>
        <v>-2007</v>
      </c>
      <c r="P107" s="53"/>
      <c r="Q107" s="10">
        <v>47618</v>
      </c>
      <c r="R107" s="10">
        <v>47691</v>
      </c>
      <c r="S107" s="98">
        <f t="shared" si="14"/>
        <v>-73</v>
      </c>
      <c r="T107" s="53"/>
      <c r="U107" s="100"/>
      <c r="V107" s="53"/>
      <c r="W107" s="59">
        <f t="shared" si="15"/>
        <v>397173</v>
      </c>
      <c r="X107" s="53"/>
      <c r="Y107" s="8">
        <v>208088.87</v>
      </c>
      <c r="Z107" s="8">
        <f>SUM(Y107-W107)</f>
        <v>-189084.13</v>
      </c>
      <c r="AA107" s="2">
        <v>104686</v>
      </c>
      <c r="AD107" s="162"/>
    </row>
    <row r="108" spans="1:30" s="32" customFormat="1" ht="12" customHeight="1">
      <c r="A108" s="19"/>
      <c r="B108" s="19"/>
      <c r="C108" s="19"/>
      <c r="D108" s="46" t="s">
        <v>422</v>
      </c>
      <c r="E108" s="4">
        <f>SUM(E103:E107)</f>
        <v>0</v>
      </c>
      <c r="F108" s="35"/>
      <c r="G108" s="5">
        <f>SUM(G103:G107)</f>
        <v>480639</v>
      </c>
      <c r="H108" s="35"/>
      <c r="I108" s="5">
        <f>SUM(I103:I107)</f>
        <v>63650</v>
      </c>
      <c r="J108" s="5">
        <f>SUM(J103:J107)</f>
        <v>63683</v>
      </c>
      <c r="K108" s="5">
        <f>SUM(K103:K107)</f>
        <v>-33</v>
      </c>
      <c r="L108" s="35"/>
      <c r="M108" s="5">
        <f>SUM(M103:M107)</f>
        <v>171631</v>
      </c>
      <c r="N108" s="5">
        <f>SUM(N103:N107)</f>
        <v>173872</v>
      </c>
      <c r="O108" s="114">
        <f t="shared" si="13"/>
        <v>-2241</v>
      </c>
      <c r="P108" s="35"/>
      <c r="Q108" s="5">
        <f>SUM(Q103:Q107)</f>
        <v>55118</v>
      </c>
      <c r="R108" s="5">
        <f>SUM(R103:R107)</f>
        <v>55191</v>
      </c>
      <c r="S108" s="120">
        <f t="shared" si="14"/>
        <v>-73</v>
      </c>
      <c r="T108" s="35"/>
      <c r="U108" s="5">
        <f>SUM(U103:U107)</f>
        <v>0</v>
      </c>
      <c r="V108" s="35"/>
      <c r="W108" s="122">
        <f t="shared" si="15"/>
        <v>773385</v>
      </c>
      <c r="X108" s="35"/>
      <c r="Y108" s="5">
        <f>SUM(Y103:Y107)</f>
        <v>327797.46999999997</v>
      </c>
      <c r="Z108" s="5">
        <f>SUM(Z103:Z107)</f>
        <v>-445587.53</v>
      </c>
      <c r="AA108" s="5">
        <f>SUM(AA103:AA107)</f>
        <v>509067</v>
      </c>
      <c r="AD108" s="164"/>
    </row>
    <row r="109" spans="1:30" s="1" customFormat="1" ht="6" hidden="1" customHeight="1">
      <c r="A109" s="6"/>
      <c r="B109" s="6"/>
      <c r="C109" s="6"/>
      <c r="D109" s="15"/>
      <c r="E109" s="16"/>
      <c r="F109" s="53"/>
      <c r="G109" s="2"/>
      <c r="H109" s="53"/>
      <c r="I109" s="2"/>
      <c r="J109" s="2"/>
      <c r="K109" s="9">
        <f>SUM(I109-J109)</f>
        <v>0</v>
      </c>
      <c r="L109" s="53"/>
      <c r="M109" s="2"/>
      <c r="N109" s="2"/>
      <c r="O109" s="58">
        <f t="shared" si="13"/>
        <v>0</v>
      </c>
      <c r="P109" s="53"/>
      <c r="Q109" s="2"/>
      <c r="R109" s="2"/>
      <c r="S109" s="98">
        <f t="shared" si="14"/>
        <v>0</v>
      </c>
      <c r="T109" s="53"/>
      <c r="U109" s="104"/>
      <c r="V109" s="53"/>
      <c r="W109" s="59">
        <f t="shared" si="15"/>
        <v>0</v>
      </c>
      <c r="X109" s="53"/>
      <c r="Y109" s="2"/>
      <c r="Z109" s="8"/>
      <c r="AA109" s="2"/>
      <c r="AD109" s="162"/>
    </row>
    <row r="110" spans="1:30" s="1" customFormat="1" ht="6" customHeight="1">
      <c r="A110" s="38"/>
      <c r="B110" s="38"/>
      <c r="C110" s="38"/>
      <c r="D110" s="39"/>
      <c r="E110" s="40"/>
      <c r="F110" s="53"/>
      <c r="G110" s="41"/>
      <c r="H110" s="53"/>
      <c r="I110" s="42"/>
      <c r="J110" s="41"/>
      <c r="K110" s="43"/>
      <c r="L110" s="53"/>
      <c r="M110" s="42"/>
      <c r="N110" s="41"/>
      <c r="O110" s="113">
        <f t="shared" si="13"/>
        <v>0</v>
      </c>
      <c r="P110" s="53"/>
      <c r="Q110" s="42"/>
      <c r="R110" s="42"/>
      <c r="S110" s="118">
        <f t="shared" si="14"/>
        <v>0</v>
      </c>
      <c r="T110" s="53"/>
      <c r="U110" s="103"/>
      <c r="V110" s="53"/>
      <c r="W110" s="121">
        <f t="shared" si="15"/>
        <v>0</v>
      </c>
      <c r="X110" s="53"/>
      <c r="Y110" s="44"/>
      <c r="Z110" s="44"/>
      <c r="AA110" s="41"/>
      <c r="AD110" s="162"/>
    </row>
    <row r="111" spans="1:30" s="32" customFormat="1" ht="15" customHeight="1">
      <c r="A111" s="19" t="s">
        <v>97</v>
      </c>
      <c r="B111" s="19" t="s">
        <v>18</v>
      </c>
      <c r="C111" s="19" t="s">
        <v>93</v>
      </c>
      <c r="D111" s="18" t="s">
        <v>164</v>
      </c>
      <c r="E111" s="4"/>
      <c r="F111" s="35"/>
      <c r="G111" s="5">
        <v>653456</v>
      </c>
      <c r="H111" s="35"/>
      <c r="I111" s="22">
        <v>55803</v>
      </c>
      <c r="J111" s="5">
        <v>55853</v>
      </c>
      <c r="K111" s="58">
        <f>SUM(I111-J111)</f>
        <v>-50</v>
      </c>
      <c r="L111" s="35"/>
      <c r="M111" s="22">
        <v>178193</v>
      </c>
      <c r="N111" s="5">
        <v>178436</v>
      </c>
      <c r="O111" s="114">
        <f t="shared" si="13"/>
        <v>-243</v>
      </c>
      <c r="P111" s="35"/>
      <c r="Q111" s="22">
        <v>650</v>
      </c>
      <c r="R111" s="22"/>
      <c r="S111" s="120">
        <f t="shared" si="14"/>
        <v>650</v>
      </c>
      <c r="T111" s="35"/>
      <c r="U111" s="105"/>
      <c r="V111" s="35"/>
      <c r="W111" s="122">
        <f t="shared" si="15"/>
        <v>887745</v>
      </c>
      <c r="X111" s="35"/>
      <c r="Y111" s="14"/>
      <c r="Z111" s="14">
        <f>SUM(Y111-W111)</f>
        <v>-887745</v>
      </c>
      <c r="AA111" s="5"/>
      <c r="AD111" s="164"/>
    </row>
    <row r="112" spans="1:30" s="32" customFormat="1" ht="18" customHeight="1">
      <c r="A112" s="19"/>
      <c r="B112" s="19"/>
      <c r="C112" s="19"/>
      <c r="D112" s="48" t="s">
        <v>165</v>
      </c>
      <c r="E112" s="4">
        <f>SUM(E64:E89, +E95+E101+E108+E111)</f>
        <v>0</v>
      </c>
      <c r="F112" s="35"/>
      <c r="G112" s="83">
        <f>SUM(G64:G89)+G95+G101+G108+G111</f>
        <v>6368472</v>
      </c>
      <c r="H112" s="84"/>
      <c r="I112" s="83">
        <f>SUM(I64:I89)+I95+I101+I108+I111</f>
        <v>659329</v>
      </c>
      <c r="J112" s="83">
        <f>SUM(J64:J89)+J95+J101+J108+J111</f>
        <v>656226</v>
      </c>
      <c r="K112" s="83">
        <f>SUM(K64:K89)+K95+K101+K108+K111</f>
        <v>3103</v>
      </c>
      <c r="L112" s="84"/>
      <c r="M112" s="83">
        <f>SUM(M64:M89)+M95+M101+M108+M111</f>
        <v>2180591</v>
      </c>
      <c r="N112" s="83">
        <f>SUM(N64:N89)+N95+N101+N108+N111</f>
        <v>2180388</v>
      </c>
      <c r="O112" s="114">
        <f t="shared" si="13"/>
        <v>203</v>
      </c>
      <c r="P112" s="84"/>
      <c r="Q112" s="83">
        <f>SUM(Q64:Q89)+Q95+Q101+Q108+Q111</f>
        <v>497513</v>
      </c>
      <c r="R112" s="83">
        <f>SUM(R64:R89)+R95+R101+R108+R111</f>
        <v>494948</v>
      </c>
      <c r="S112" s="120">
        <f t="shared" si="14"/>
        <v>2565</v>
      </c>
      <c r="T112" s="84"/>
      <c r="U112" s="83">
        <f>SUM(U64:U89)+U95+U101+U108+U111</f>
        <v>591441</v>
      </c>
      <c r="V112" s="84"/>
      <c r="W112" s="122">
        <f t="shared" si="15"/>
        <v>10291475</v>
      </c>
      <c r="X112" s="84"/>
      <c r="Y112" s="83">
        <f>SUM(Y64:Y89)+Y95+Y101+Y108+Y111</f>
        <v>5606450.4199999999</v>
      </c>
      <c r="Z112" s="83">
        <f>SUM(Z64:Z89)+Z95+Z101+Z108+Z111</f>
        <v>-4685024.58</v>
      </c>
      <c r="AA112" s="83">
        <f>SUM(AA64:AA89)+AA95+AA101+AA108+AA111</f>
        <v>2618884</v>
      </c>
      <c r="AD112" s="164"/>
    </row>
    <row r="113" spans="1:30" s="1" customFormat="1" ht="12.9" customHeight="1">
      <c r="A113" s="6"/>
      <c r="B113" s="6"/>
      <c r="C113" s="6"/>
      <c r="D113" s="49" t="s">
        <v>166</v>
      </c>
      <c r="E113" s="7"/>
      <c r="F113" s="53"/>
      <c r="G113" s="2"/>
      <c r="H113" s="53"/>
      <c r="I113" s="2"/>
      <c r="J113" s="2"/>
      <c r="K113" s="9"/>
      <c r="L113" s="53"/>
      <c r="M113" s="2"/>
      <c r="N113" s="2"/>
      <c r="O113" s="58">
        <f t="shared" si="13"/>
        <v>0</v>
      </c>
      <c r="P113" s="53"/>
      <c r="Q113" s="2"/>
      <c r="R113" s="2"/>
      <c r="S113" s="98">
        <f t="shared" si="14"/>
        <v>0</v>
      </c>
      <c r="T113" s="53"/>
      <c r="U113" s="104"/>
      <c r="V113" s="53"/>
      <c r="W113" s="59">
        <f t="shared" si="15"/>
        <v>0</v>
      </c>
      <c r="X113" s="53"/>
      <c r="Y113" s="8"/>
      <c r="Z113" s="8"/>
      <c r="AA113" s="2"/>
      <c r="AD113" s="162"/>
    </row>
    <row r="114" spans="1:30" s="1" customFormat="1" ht="12" customHeight="1">
      <c r="A114" s="6" t="s">
        <v>167</v>
      </c>
      <c r="B114" s="6" t="s">
        <v>18</v>
      </c>
      <c r="C114" s="6" t="s">
        <v>168</v>
      </c>
      <c r="D114" s="15" t="s">
        <v>169</v>
      </c>
      <c r="E114" s="16"/>
      <c r="F114" s="53"/>
      <c r="G114" s="2">
        <v>541635</v>
      </c>
      <c r="H114" s="53"/>
      <c r="I114" s="10">
        <v>39000</v>
      </c>
      <c r="J114" s="2">
        <v>39259</v>
      </c>
      <c r="K114" s="58">
        <f t="shared" ref="K114:K129" si="18">SUM(I114-J114)</f>
        <v>-259</v>
      </c>
      <c r="L114" s="53"/>
      <c r="M114" s="10">
        <v>174399</v>
      </c>
      <c r="N114" s="2">
        <v>178702</v>
      </c>
      <c r="O114" s="58">
        <f t="shared" si="13"/>
        <v>-4303</v>
      </c>
      <c r="P114" s="53"/>
      <c r="Q114" s="10">
        <v>32985</v>
      </c>
      <c r="R114" s="10">
        <v>32414</v>
      </c>
      <c r="S114" s="98">
        <f t="shared" si="14"/>
        <v>571</v>
      </c>
      <c r="T114" s="53"/>
      <c r="U114" s="100">
        <v>4717</v>
      </c>
      <c r="V114" s="53"/>
      <c r="W114" s="59">
        <f t="shared" si="15"/>
        <v>796727</v>
      </c>
      <c r="X114" s="53"/>
      <c r="Y114" s="8">
        <v>738973.24</v>
      </c>
      <c r="Z114" s="8">
        <f t="shared" ref="Z114:Z122" si="19">SUM(Y114-W114)</f>
        <v>-57753.760000000009</v>
      </c>
      <c r="AA114" s="2">
        <v>409315</v>
      </c>
      <c r="AD114" s="162"/>
    </row>
    <row r="115" spans="1:30" s="1" customFormat="1" ht="12" customHeight="1">
      <c r="A115" s="6" t="s">
        <v>167</v>
      </c>
      <c r="B115" s="6" t="s">
        <v>18</v>
      </c>
      <c r="C115" s="6" t="s">
        <v>170</v>
      </c>
      <c r="D115" s="15" t="s">
        <v>171</v>
      </c>
      <c r="E115" s="16"/>
      <c r="F115" s="53"/>
      <c r="G115" s="2">
        <v>291874</v>
      </c>
      <c r="H115" s="53"/>
      <c r="I115" s="10">
        <v>23000</v>
      </c>
      <c r="J115" s="2">
        <v>23087</v>
      </c>
      <c r="K115" s="58">
        <f t="shared" si="18"/>
        <v>-87</v>
      </c>
      <c r="L115" s="53"/>
      <c r="M115" s="10">
        <v>67500</v>
      </c>
      <c r="N115" s="2">
        <v>65493</v>
      </c>
      <c r="O115" s="58">
        <f t="shared" si="13"/>
        <v>2007</v>
      </c>
      <c r="P115" s="53"/>
      <c r="Q115" s="10">
        <v>56065</v>
      </c>
      <c r="R115" s="10">
        <v>51180</v>
      </c>
      <c r="S115" s="98">
        <f t="shared" si="14"/>
        <v>4885</v>
      </c>
      <c r="T115" s="53"/>
      <c r="U115" s="100"/>
      <c r="V115" s="53"/>
      <c r="W115" s="59">
        <f t="shared" si="15"/>
        <v>431634</v>
      </c>
      <c r="X115" s="53"/>
      <c r="Y115" s="8">
        <v>281948.84999999998</v>
      </c>
      <c r="Z115" s="8">
        <f t="shared" si="19"/>
        <v>-149685.15000000002</v>
      </c>
      <c r="AA115" s="2">
        <v>264592</v>
      </c>
      <c r="AD115" s="162"/>
    </row>
    <row r="116" spans="1:30" s="1" customFormat="1" ht="12" customHeight="1">
      <c r="A116" s="6">
        <v>30</v>
      </c>
      <c r="B116" s="6" t="s">
        <v>18</v>
      </c>
      <c r="C116" s="6" t="s">
        <v>172</v>
      </c>
      <c r="D116" s="15" t="s">
        <v>173</v>
      </c>
      <c r="E116" s="16"/>
      <c r="F116" s="53"/>
      <c r="G116" s="2"/>
      <c r="H116" s="53"/>
      <c r="I116" s="10"/>
      <c r="J116" s="2"/>
      <c r="K116" s="58">
        <f t="shared" si="18"/>
        <v>0</v>
      </c>
      <c r="L116" s="53"/>
      <c r="M116" s="10">
        <v>9000</v>
      </c>
      <c r="N116" s="2">
        <v>8849</v>
      </c>
      <c r="O116" s="58">
        <f t="shared" si="13"/>
        <v>151</v>
      </c>
      <c r="P116" s="53"/>
      <c r="Q116" s="10"/>
      <c r="R116" s="10"/>
      <c r="S116" s="98">
        <f t="shared" si="14"/>
        <v>0</v>
      </c>
      <c r="T116" s="53"/>
      <c r="U116" s="100"/>
      <c r="V116" s="53"/>
      <c r="W116" s="59">
        <f t="shared" si="15"/>
        <v>8849</v>
      </c>
      <c r="X116" s="53"/>
      <c r="Y116" s="8"/>
      <c r="Z116" s="8">
        <f t="shared" si="19"/>
        <v>-8849</v>
      </c>
      <c r="AA116" s="2">
        <v>1291</v>
      </c>
      <c r="AD116" s="162"/>
    </row>
    <row r="117" spans="1:30" s="1" customFormat="1" ht="12" customHeight="1">
      <c r="A117" s="6" t="s">
        <v>167</v>
      </c>
      <c r="B117" s="6" t="s">
        <v>18</v>
      </c>
      <c r="C117" s="6" t="s">
        <v>174</v>
      </c>
      <c r="D117" s="15" t="s">
        <v>175</v>
      </c>
      <c r="E117" s="16"/>
      <c r="F117" s="53"/>
      <c r="G117" s="2">
        <v>283202</v>
      </c>
      <c r="H117" s="53"/>
      <c r="I117" s="10">
        <v>18000</v>
      </c>
      <c r="J117" s="2">
        <v>17959</v>
      </c>
      <c r="K117" s="58">
        <f t="shared" si="18"/>
        <v>41</v>
      </c>
      <c r="L117" s="53"/>
      <c r="M117" s="10">
        <v>70000</v>
      </c>
      <c r="N117" s="2">
        <v>72784</v>
      </c>
      <c r="O117" s="58">
        <f t="shared" si="13"/>
        <v>-2784</v>
      </c>
      <c r="P117" s="53"/>
      <c r="Q117" s="10">
        <v>1860</v>
      </c>
      <c r="R117" s="10">
        <v>1860</v>
      </c>
      <c r="S117" s="98">
        <f t="shared" si="14"/>
        <v>0</v>
      </c>
      <c r="T117" s="53"/>
      <c r="U117" s="100"/>
      <c r="V117" s="53"/>
      <c r="W117" s="59">
        <f t="shared" si="15"/>
        <v>375805</v>
      </c>
      <c r="X117" s="53"/>
      <c r="Y117" s="8">
        <v>195841.55</v>
      </c>
      <c r="Z117" s="8">
        <f t="shared" si="19"/>
        <v>-179963.45</v>
      </c>
      <c r="AA117" s="2">
        <v>107475</v>
      </c>
      <c r="AD117" s="162"/>
    </row>
    <row r="118" spans="1:30" s="1" customFormat="1" ht="12" customHeight="1">
      <c r="A118" s="6" t="s">
        <v>167</v>
      </c>
      <c r="B118" s="6" t="s">
        <v>18</v>
      </c>
      <c r="C118" s="6">
        <v>255</v>
      </c>
      <c r="D118" s="15" t="s">
        <v>176</v>
      </c>
      <c r="E118" s="16"/>
      <c r="F118" s="53"/>
      <c r="G118" s="2"/>
      <c r="H118" s="53"/>
      <c r="I118" s="10"/>
      <c r="J118" s="2"/>
      <c r="K118" s="58">
        <f t="shared" si="18"/>
        <v>0</v>
      </c>
      <c r="L118" s="53"/>
      <c r="M118" s="10">
        <v>101</v>
      </c>
      <c r="N118" s="2">
        <v>101</v>
      </c>
      <c r="O118" s="58">
        <f t="shared" si="13"/>
        <v>0</v>
      </c>
      <c r="P118" s="53"/>
      <c r="Q118" s="10"/>
      <c r="R118" s="10"/>
      <c r="S118" s="98">
        <f t="shared" si="14"/>
        <v>0</v>
      </c>
      <c r="T118" s="53"/>
      <c r="U118" s="100"/>
      <c r="V118" s="53"/>
      <c r="W118" s="59">
        <f t="shared" si="15"/>
        <v>101</v>
      </c>
      <c r="X118" s="53"/>
      <c r="Y118" s="8"/>
      <c r="Z118" s="8">
        <f t="shared" si="19"/>
        <v>-101</v>
      </c>
      <c r="AA118" s="2">
        <v>5442</v>
      </c>
      <c r="AD118" s="162"/>
    </row>
    <row r="119" spans="1:30" s="1" customFormat="1" ht="12" customHeight="1">
      <c r="A119" s="6" t="s">
        <v>167</v>
      </c>
      <c r="B119" s="6" t="s">
        <v>18</v>
      </c>
      <c r="C119" s="6" t="s">
        <v>177</v>
      </c>
      <c r="D119" s="15" t="s">
        <v>178</v>
      </c>
      <c r="E119" s="16"/>
      <c r="F119" s="53"/>
      <c r="G119" s="2">
        <v>210409</v>
      </c>
      <c r="H119" s="53"/>
      <c r="I119" s="10"/>
      <c r="J119" s="2"/>
      <c r="K119" s="58">
        <f t="shared" si="18"/>
        <v>0</v>
      </c>
      <c r="L119" s="53"/>
      <c r="M119" s="10">
        <v>39000</v>
      </c>
      <c r="N119" s="2">
        <v>39626</v>
      </c>
      <c r="O119" s="58">
        <f t="shared" si="13"/>
        <v>-626</v>
      </c>
      <c r="P119" s="53"/>
      <c r="Q119" s="10"/>
      <c r="R119" s="10"/>
      <c r="S119" s="98">
        <f t="shared" si="14"/>
        <v>0</v>
      </c>
      <c r="T119" s="53"/>
      <c r="U119" s="100"/>
      <c r="V119" s="53"/>
      <c r="W119" s="59">
        <f t="shared" si="15"/>
        <v>250035</v>
      </c>
      <c r="X119" s="53"/>
      <c r="Y119" s="8">
        <v>80823.69</v>
      </c>
      <c r="Z119" s="8">
        <f t="shared" si="19"/>
        <v>-169211.31</v>
      </c>
      <c r="AA119" s="2">
        <v>166583</v>
      </c>
      <c r="AD119" s="162"/>
    </row>
    <row r="120" spans="1:30" s="1" customFormat="1" ht="12" customHeight="1">
      <c r="A120" s="6" t="s">
        <v>167</v>
      </c>
      <c r="B120" s="6" t="s">
        <v>18</v>
      </c>
      <c r="C120" s="6">
        <v>252</v>
      </c>
      <c r="D120" s="15" t="s">
        <v>179</v>
      </c>
      <c r="E120" s="16"/>
      <c r="F120" s="166"/>
      <c r="G120" s="2">
        <v>154896</v>
      </c>
      <c r="I120" s="10">
        <v>16200</v>
      </c>
      <c r="J120" s="2">
        <v>14593</v>
      </c>
      <c r="K120" s="58">
        <f t="shared" si="18"/>
        <v>1607</v>
      </c>
      <c r="M120" s="10">
        <v>62500</v>
      </c>
      <c r="N120" s="2">
        <v>63195</v>
      </c>
      <c r="O120" s="58">
        <f t="shared" si="13"/>
        <v>-695</v>
      </c>
      <c r="Q120" s="10"/>
      <c r="R120" s="10"/>
      <c r="S120" s="98">
        <f t="shared" si="14"/>
        <v>0</v>
      </c>
      <c r="U120" s="100">
        <v>2810</v>
      </c>
      <c r="W120" s="59">
        <f t="shared" si="15"/>
        <v>235494</v>
      </c>
      <c r="X120" s="166"/>
      <c r="Y120" s="8">
        <v>2347</v>
      </c>
      <c r="Z120" s="8">
        <f t="shared" si="19"/>
        <v>-233147</v>
      </c>
      <c r="AA120" s="2">
        <v>13837</v>
      </c>
      <c r="AD120" s="162"/>
    </row>
    <row r="121" spans="1:30" s="1" customFormat="1" ht="12" customHeight="1">
      <c r="A121" s="6" t="s">
        <v>167</v>
      </c>
      <c r="B121" s="6" t="s">
        <v>18</v>
      </c>
      <c r="C121" s="6" t="s">
        <v>180</v>
      </c>
      <c r="D121" s="15" t="s">
        <v>181</v>
      </c>
      <c r="E121" s="16"/>
      <c r="F121" s="53"/>
      <c r="G121" s="2">
        <v>148626</v>
      </c>
      <c r="H121" s="53"/>
      <c r="I121" s="10">
        <v>10000</v>
      </c>
      <c r="J121" s="2">
        <v>10012</v>
      </c>
      <c r="K121" s="58">
        <f t="shared" si="18"/>
        <v>-12</v>
      </c>
      <c r="L121" s="53"/>
      <c r="M121" s="10">
        <v>40870</v>
      </c>
      <c r="N121" s="2">
        <v>40563</v>
      </c>
      <c r="O121" s="58">
        <f t="shared" si="13"/>
        <v>307</v>
      </c>
      <c r="P121" s="53"/>
      <c r="Q121" s="10">
        <v>16826</v>
      </c>
      <c r="R121" s="10">
        <v>16656</v>
      </c>
      <c r="S121" s="98">
        <f t="shared" si="14"/>
        <v>170</v>
      </c>
      <c r="T121" s="53"/>
      <c r="U121" s="100"/>
      <c r="V121" s="53"/>
      <c r="W121" s="59">
        <f t="shared" si="15"/>
        <v>215857</v>
      </c>
      <c r="X121" s="53"/>
      <c r="Y121" s="8">
        <v>92598.07</v>
      </c>
      <c r="Z121" s="8">
        <f t="shared" si="19"/>
        <v>-123258.93</v>
      </c>
      <c r="AA121" s="2">
        <v>25799</v>
      </c>
      <c r="AD121" s="162"/>
    </row>
    <row r="122" spans="1:30" s="1" customFormat="1" ht="12" customHeight="1">
      <c r="A122" s="6" t="s">
        <v>167</v>
      </c>
      <c r="B122" s="6" t="s">
        <v>18</v>
      </c>
      <c r="C122" s="6" t="s">
        <v>182</v>
      </c>
      <c r="D122" s="15" t="s">
        <v>183</v>
      </c>
      <c r="E122" s="16"/>
      <c r="F122" s="53"/>
      <c r="G122" s="2">
        <v>218439</v>
      </c>
      <c r="H122" s="53"/>
      <c r="I122" s="10">
        <v>32500</v>
      </c>
      <c r="J122" s="2">
        <v>33390</v>
      </c>
      <c r="K122" s="58">
        <f t="shared" si="18"/>
        <v>-890</v>
      </c>
      <c r="L122" s="53"/>
      <c r="M122" s="10">
        <v>72130</v>
      </c>
      <c r="N122" s="2">
        <v>74259</v>
      </c>
      <c r="O122" s="58">
        <f t="shared" si="13"/>
        <v>-2129</v>
      </c>
      <c r="P122" s="53"/>
      <c r="Q122" s="10">
        <v>17560</v>
      </c>
      <c r="R122" s="10">
        <v>18983</v>
      </c>
      <c r="S122" s="98">
        <f t="shared" si="14"/>
        <v>-1423</v>
      </c>
      <c r="T122" s="53"/>
      <c r="U122" s="100"/>
      <c r="V122" s="53"/>
      <c r="W122" s="59">
        <f t="shared" si="15"/>
        <v>345071</v>
      </c>
      <c r="X122" s="53"/>
      <c r="Y122" s="8">
        <v>30903.71</v>
      </c>
      <c r="Z122" s="8">
        <f t="shared" si="19"/>
        <v>-314167.28999999998</v>
      </c>
      <c r="AA122" s="2">
        <v>38935</v>
      </c>
      <c r="AD122" s="162"/>
    </row>
    <row r="123" spans="1:30" s="1" customFormat="1" ht="12" customHeight="1">
      <c r="A123" s="6" t="s">
        <v>167</v>
      </c>
      <c r="B123" s="6" t="s">
        <v>18</v>
      </c>
      <c r="C123" s="6">
        <v>254</v>
      </c>
      <c r="D123" s="15" t="s">
        <v>184</v>
      </c>
      <c r="E123" s="16"/>
      <c r="F123" s="53"/>
      <c r="G123" s="2"/>
      <c r="H123" s="53"/>
      <c r="I123" s="10"/>
      <c r="J123" s="2"/>
      <c r="K123" s="58">
        <f t="shared" si="18"/>
        <v>0</v>
      </c>
      <c r="L123" s="53"/>
      <c r="M123" s="10"/>
      <c r="N123" s="2"/>
      <c r="O123" s="58">
        <f t="shared" si="13"/>
        <v>0</v>
      </c>
      <c r="P123" s="53"/>
      <c r="Q123" s="10"/>
      <c r="R123" s="10"/>
      <c r="S123" s="98">
        <f t="shared" si="14"/>
        <v>0</v>
      </c>
      <c r="T123" s="53"/>
      <c r="U123" s="100"/>
      <c r="V123" s="53"/>
      <c r="W123" s="59">
        <f t="shared" si="15"/>
        <v>0</v>
      </c>
      <c r="X123" s="53"/>
      <c r="Y123" s="8"/>
      <c r="Z123" s="8"/>
      <c r="AA123" s="2">
        <v>46121</v>
      </c>
      <c r="AD123" s="162"/>
    </row>
    <row r="124" spans="1:30" s="1" customFormat="1" ht="12" customHeight="1">
      <c r="A124" s="6"/>
      <c r="B124" s="6"/>
      <c r="C124" s="6"/>
      <c r="D124" s="15" t="s">
        <v>185</v>
      </c>
      <c r="E124" s="16"/>
      <c r="F124" s="53"/>
      <c r="G124" s="2"/>
      <c r="H124" s="53"/>
      <c r="I124" s="10"/>
      <c r="J124" s="2"/>
      <c r="K124" s="58">
        <f t="shared" si="18"/>
        <v>0</v>
      </c>
      <c r="L124" s="53"/>
      <c r="M124" s="10">
        <v>425</v>
      </c>
      <c r="N124" s="2">
        <v>115</v>
      </c>
      <c r="O124" s="58">
        <f t="shared" si="13"/>
        <v>310</v>
      </c>
      <c r="P124" s="53"/>
      <c r="Q124" s="10"/>
      <c r="R124" s="10"/>
      <c r="S124" s="98">
        <f t="shared" si="14"/>
        <v>0</v>
      </c>
      <c r="T124" s="53"/>
      <c r="U124" s="100"/>
      <c r="V124" s="53"/>
      <c r="W124" s="59">
        <f t="shared" si="15"/>
        <v>115</v>
      </c>
      <c r="X124" s="53"/>
      <c r="Y124" s="8"/>
      <c r="Z124" s="8">
        <f t="shared" ref="Z124:Z129" si="20">SUM(Y124-W124)</f>
        <v>-115</v>
      </c>
      <c r="AA124" s="2"/>
      <c r="AD124" s="162"/>
    </row>
    <row r="125" spans="1:30" s="1" customFormat="1" ht="12" customHeight="1">
      <c r="A125" s="6" t="s">
        <v>167</v>
      </c>
      <c r="B125" s="6" t="s">
        <v>18</v>
      </c>
      <c r="C125" s="6" t="s">
        <v>186</v>
      </c>
      <c r="D125" s="15" t="s">
        <v>187</v>
      </c>
      <c r="E125" s="16"/>
      <c r="F125" s="53"/>
      <c r="G125" s="2">
        <v>336200</v>
      </c>
      <c r="H125" s="53"/>
      <c r="I125" s="10">
        <v>44600</v>
      </c>
      <c r="J125" s="2">
        <v>42991</v>
      </c>
      <c r="K125" s="58">
        <f t="shared" si="18"/>
        <v>1609</v>
      </c>
      <c r="L125" s="53"/>
      <c r="M125" s="10">
        <v>77005</v>
      </c>
      <c r="N125" s="2">
        <v>72915</v>
      </c>
      <c r="O125" s="58">
        <f t="shared" si="13"/>
        <v>4090</v>
      </c>
      <c r="P125" s="53"/>
      <c r="Q125" s="10">
        <v>11880</v>
      </c>
      <c r="R125" s="10">
        <v>11880</v>
      </c>
      <c r="S125" s="98">
        <f t="shared" si="14"/>
        <v>0</v>
      </c>
      <c r="T125" s="53"/>
      <c r="U125" s="100"/>
      <c r="V125" s="53"/>
      <c r="W125" s="59">
        <f t="shared" si="15"/>
        <v>463986</v>
      </c>
      <c r="X125" s="53"/>
      <c r="Y125" s="8">
        <v>126318.37</v>
      </c>
      <c r="Z125" s="8">
        <f t="shared" si="20"/>
        <v>-337667.63</v>
      </c>
      <c r="AA125" s="2">
        <v>129787</v>
      </c>
      <c r="AD125" s="162"/>
    </row>
    <row r="126" spans="1:30" s="1" customFormat="1" ht="12" customHeight="1">
      <c r="A126" s="6" t="s">
        <v>167</v>
      </c>
      <c r="B126" s="6" t="s">
        <v>18</v>
      </c>
      <c r="C126" s="6" t="s">
        <v>188</v>
      </c>
      <c r="D126" s="15" t="s">
        <v>189</v>
      </c>
      <c r="E126" s="16"/>
      <c r="F126" s="53"/>
      <c r="G126" s="2">
        <v>711961</v>
      </c>
      <c r="H126" s="53"/>
      <c r="I126" s="10">
        <v>75000</v>
      </c>
      <c r="J126" s="2">
        <v>74918</v>
      </c>
      <c r="K126" s="58">
        <f t="shared" si="18"/>
        <v>82</v>
      </c>
      <c r="L126" s="53"/>
      <c r="M126" s="10">
        <v>190000</v>
      </c>
      <c r="N126" s="2">
        <v>194213</v>
      </c>
      <c r="O126" s="58">
        <f t="shared" si="13"/>
        <v>-4213</v>
      </c>
      <c r="P126" s="53"/>
      <c r="Q126" s="10">
        <v>91777</v>
      </c>
      <c r="R126" s="10">
        <v>85568</v>
      </c>
      <c r="S126" s="98">
        <f t="shared" si="14"/>
        <v>6209</v>
      </c>
      <c r="T126" s="53"/>
      <c r="U126" s="100"/>
      <c r="V126" s="53"/>
      <c r="W126" s="59">
        <f t="shared" si="15"/>
        <v>1066660</v>
      </c>
      <c r="X126" s="53"/>
      <c r="Y126" s="8">
        <v>847059.41</v>
      </c>
      <c r="Z126" s="8">
        <f t="shared" si="20"/>
        <v>-219600.58999999997</v>
      </c>
      <c r="AA126" s="2">
        <v>702984</v>
      </c>
      <c r="AD126" s="162"/>
    </row>
    <row r="127" spans="1:30" s="1" customFormat="1" ht="12" customHeight="1">
      <c r="A127" s="6" t="s">
        <v>167</v>
      </c>
      <c r="B127" s="6" t="s">
        <v>18</v>
      </c>
      <c r="C127" s="6" t="s">
        <v>190</v>
      </c>
      <c r="D127" s="12" t="s">
        <v>191</v>
      </c>
      <c r="E127" s="13"/>
      <c r="F127" s="53"/>
      <c r="G127" s="2">
        <v>292619</v>
      </c>
      <c r="H127" s="53"/>
      <c r="I127" s="10">
        <v>32000</v>
      </c>
      <c r="J127" s="2">
        <v>34270</v>
      </c>
      <c r="K127" s="58">
        <f t="shared" si="18"/>
        <v>-2270</v>
      </c>
      <c r="L127" s="53"/>
      <c r="M127" s="10">
        <v>102000</v>
      </c>
      <c r="N127" s="2">
        <v>102635</v>
      </c>
      <c r="O127" s="58">
        <f t="shared" ref="O127:O190" si="21">SUM(M127-N127)</f>
        <v>-635</v>
      </c>
      <c r="P127" s="53"/>
      <c r="Q127" s="10">
        <v>6000</v>
      </c>
      <c r="R127" s="10">
        <v>13023</v>
      </c>
      <c r="S127" s="98">
        <f t="shared" ref="S127:S190" si="22">Q127-R127</f>
        <v>-7023</v>
      </c>
      <c r="T127" s="53"/>
      <c r="U127" s="100"/>
      <c r="V127" s="53"/>
      <c r="W127" s="59">
        <f t="shared" ref="W127:W190" si="23">SUM(G127+J127+U127+N127+R127)</f>
        <v>442547</v>
      </c>
      <c r="X127" s="53"/>
      <c r="Y127" s="8">
        <v>315034.65000000002</v>
      </c>
      <c r="Z127" s="8">
        <f t="shared" si="20"/>
        <v>-127512.34999999998</v>
      </c>
      <c r="AA127" s="2">
        <v>99973</v>
      </c>
      <c r="AD127" s="162"/>
    </row>
    <row r="128" spans="1:30" s="1" customFormat="1" ht="12" customHeight="1">
      <c r="A128" s="6" t="s">
        <v>167</v>
      </c>
      <c r="B128" s="6" t="s">
        <v>18</v>
      </c>
      <c r="C128" s="6" t="s">
        <v>192</v>
      </c>
      <c r="D128" s="15" t="s">
        <v>193</v>
      </c>
      <c r="E128" s="16"/>
      <c r="F128" s="53"/>
      <c r="G128" s="2">
        <v>31871</v>
      </c>
      <c r="H128" s="53"/>
      <c r="I128" s="10">
        <v>5000</v>
      </c>
      <c r="J128" s="2">
        <v>3504</v>
      </c>
      <c r="K128" s="58">
        <f t="shared" si="18"/>
        <v>1496</v>
      </c>
      <c r="L128" s="53"/>
      <c r="M128" s="10">
        <v>18000</v>
      </c>
      <c r="N128" s="2">
        <v>14276</v>
      </c>
      <c r="O128" s="58">
        <f t="shared" si="21"/>
        <v>3724</v>
      </c>
      <c r="P128" s="53"/>
      <c r="Q128" s="10">
        <v>11050</v>
      </c>
      <c r="R128" s="10">
        <v>6450</v>
      </c>
      <c r="S128" s="98">
        <f t="shared" si="22"/>
        <v>4600</v>
      </c>
      <c r="T128" s="53"/>
      <c r="U128" s="100"/>
      <c r="V128" s="53"/>
      <c r="W128" s="59">
        <f t="shared" si="23"/>
        <v>56101</v>
      </c>
      <c r="X128" s="53"/>
      <c r="Y128" s="8">
        <v>394.81</v>
      </c>
      <c r="Z128" s="8">
        <f t="shared" si="20"/>
        <v>-55706.19</v>
      </c>
      <c r="AA128" s="2">
        <v>29183</v>
      </c>
      <c r="AD128" s="162"/>
    </row>
    <row r="129" spans="1:30" s="1" customFormat="1" ht="12" customHeight="1">
      <c r="A129" s="6" t="s">
        <v>167</v>
      </c>
      <c r="B129" s="6" t="s">
        <v>18</v>
      </c>
      <c r="C129" s="6" t="s">
        <v>194</v>
      </c>
      <c r="D129" s="15" t="s">
        <v>195</v>
      </c>
      <c r="E129" s="16"/>
      <c r="F129" s="53"/>
      <c r="G129" s="2">
        <v>124531</v>
      </c>
      <c r="H129" s="53"/>
      <c r="I129" s="10">
        <v>22000</v>
      </c>
      <c r="J129" s="2">
        <v>20002</v>
      </c>
      <c r="K129" s="58">
        <f t="shared" si="18"/>
        <v>1998</v>
      </c>
      <c r="L129" s="53"/>
      <c r="M129" s="10">
        <v>43000</v>
      </c>
      <c r="N129" s="2">
        <v>43366</v>
      </c>
      <c r="O129" s="58">
        <f t="shared" si="21"/>
        <v>-366</v>
      </c>
      <c r="P129" s="53"/>
      <c r="Q129" s="10"/>
      <c r="R129" s="10"/>
      <c r="S129" s="98">
        <f t="shared" si="22"/>
        <v>0</v>
      </c>
      <c r="T129" s="53"/>
      <c r="U129" s="100"/>
      <c r="V129" s="53"/>
      <c r="W129" s="59">
        <f t="shared" si="23"/>
        <v>187899</v>
      </c>
      <c r="X129" s="53"/>
      <c r="Y129" s="8">
        <v>10423.56</v>
      </c>
      <c r="Z129" s="8">
        <f t="shared" si="20"/>
        <v>-177475.44</v>
      </c>
      <c r="AA129" s="2">
        <v>11299</v>
      </c>
      <c r="AD129" s="162"/>
    </row>
    <row r="130" spans="1:30" s="1" customFormat="1" ht="6" customHeight="1">
      <c r="A130" s="38"/>
      <c r="B130" s="38"/>
      <c r="C130" s="38"/>
      <c r="D130" s="39"/>
      <c r="E130" s="40"/>
      <c r="F130" s="53"/>
      <c r="G130" s="41"/>
      <c r="H130" s="53"/>
      <c r="I130" s="42"/>
      <c r="J130" s="41"/>
      <c r="K130" s="43"/>
      <c r="L130" s="53"/>
      <c r="M130" s="42"/>
      <c r="N130" s="41"/>
      <c r="O130" s="113">
        <f t="shared" si="21"/>
        <v>0</v>
      </c>
      <c r="P130" s="53"/>
      <c r="Q130" s="42"/>
      <c r="R130" s="42"/>
      <c r="S130" s="118">
        <f t="shared" si="22"/>
        <v>0</v>
      </c>
      <c r="T130" s="53"/>
      <c r="U130" s="103"/>
      <c r="V130" s="53"/>
      <c r="W130" s="121">
        <f t="shared" si="23"/>
        <v>0</v>
      </c>
      <c r="X130" s="53"/>
      <c r="Y130" s="44"/>
      <c r="Z130" s="44"/>
      <c r="AA130" s="41"/>
      <c r="AD130" s="162"/>
    </row>
    <row r="131" spans="1:30" s="1" customFormat="1" ht="12" customHeight="1">
      <c r="A131" s="6" t="s">
        <v>167</v>
      </c>
      <c r="B131" s="6" t="s">
        <v>196</v>
      </c>
      <c r="C131" s="6" t="s">
        <v>58</v>
      </c>
      <c r="D131" s="20" t="s">
        <v>399</v>
      </c>
      <c r="E131" s="13"/>
      <c r="F131" s="53"/>
      <c r="G131" s="2">
        <v>170955</v>
      </c>
      <c r="H131" s="53"/>
      <c r="I131" s="10">
        <v>20000</v>
      </c>
      <c r="J131" s="2">
        <v>9335</v>
      </c>
      <c r="K131" s="58">
        <f>SUM(I131-J131)</f>
        <v>10665</v>
      </c>
      <c r="L131" s="53"/>
      <c r="M131" s="10">
        <v>86000</v>
      </c>
      <c r="N131" s="2">
        <v>21897</v>
      </c>
      <c r="O131" s="58">
        <f t="shared" si="21"/>
        <v>64103</v>
      </c>
      <c r="P131" s="53"/>
      <c r="Q131" s="10"/>
      <c r="R131" s="10"/>
      <c r="S131" s="98">
        <f t="shared" si="22"/>
        <v>0</v>
      </c>
      <c r="T131" s="53"/>
      <c r="U131" s="100"/>
      <c r="V131" s="53"/>
      <c r="W131" s="59">
        <f t="shared" si="23"/>
        <v>202187</v>
      </c>
      <c r="X131" s="53"/>
      <c r="Y131" s="8"/>
      <c r="Z131" s="8">
        <f>SUM(Y131-W131)</f>
        <v>-202187</v>
      </c>
      <c r="AA131" s="2"/>
      <c r="AD131" s="162"/>
    </row>
    <row r="132" spans="1:30" s="1" customFormat="1" ht="12" customHeight="1">
      <c r="A132" s="6" t="s">
        <v>167</v>
      </c>
      <c r="B132" s="6" t="s">
        <v>196</v>
      </c>
      <c r="C132" s="6" t="s">
        <v>197</v>
      </c>
      <c r="D132" s="12" t="s">
        <v>198</v>
      </c>
      <c r="E132" s="13"/>
      <c r="F132" s="53"/>
      <c r="G132" s="2">
        <v>35186</v>
      </c>
      <c r="H132" s="53"/>
      <c r="I132" s="10"/>
      <c r="J132" s="2"/>
      <c r="K132" s="58">
        <f>SUM(I132-J132)</f>
        <v>0</v>
      </c>
      <c r="L132" s="53"/>
      <c r="M132" s="10"/>
      <c r="N132" s="2">
        <v>6629</v>
      </c>
      <c r="O132" s="58">
        <f t="shared" si="21"/>
        <v>-6629</v>
      </c>
      <c r="P132" s="53"/>
      <c r="Q132" s="10"/>
      <c r="R132" s="10"/>
      <c r="S132" s="98">
        <f t="shared" si="22"/>
        <v>0</v>
      </c>
      <c r="T132" s="53"/>
      <c r="U132" s="100"/>
      <c r="V132" s="53"/>
      <c r="W132" s="59">
        <f t="shared" si="23"/>
        <v>41815</v>
      </c>
      <c r="X132" s="53"/>
      <c r="Y132" s="8"/>
      <c r="Z132" s="8">
        <f>SUM(Y132-W132)</f>
        <v>-41815</v>
      </c>
      <c r="AA132" s="2">
        <v>1159</v>
      </c>
      <c r="AD132" s="162"/>
    </row>
    <row r="133" spans="1:30" s="1" customFormat="1" ht="12" customHeight="1">
      <c r="A133" s="6" t="s">
        <v>167</v>
      </c>
      <c r="B133" s="6" t="s">
        <v>196</v>
      </c>
      <c r="C133" s="6" t="s">
        <v>199</v>
      </c>
      <c r="D133" s="12" t="s">
        <v>200</v>
      </c>
      <c r="E133" s="13"/>
      <c r="F133" s="166"/>
      <c r="G133" s="2">
        <v>232811</v>
      </c>
      <c r="I133" s="10">
        <v>3500</v>
      </c>
      <c r="J133" s="2">
        <v>13542</v>
      </c>
      <c r="K133" s="58">
        <f>SUM(I133-J133)</f>
        <v>-10042</v>
      </c>
      <c r="M133" s="10">
        <v>12500</v>
      </c>
      <c r="N133" s="2">
        <v>73501</v>
      </c>
      <c r="O133" s="58">
        <f t="shared" si="21"/>
        <v>-61001</v>
      </c>
      <c r="Q133" s="10"/>
      <c r="R133" s="10">
        <v>1447</v>
      </c>
      <c r="S133" s="98">
        <f t="shared" si="22"/>
        <v>-1447</v>
      </c>
      <c r="U133" s="100"/>
      <c r="W133" s="59">
        <f t="shared" si="23"/>
        <v>321301</v>
      </c>
      <c r="X133" s="166"/>
      <c r="Y133" s="8">
        <v>140237</v>
      </c>
      <c r="Z133" s="8">
        <f>SUM(Y133-W133)</f>
        <v>-181064</v>
      </c>
      <c r="AA133" s="2">
        <v>47342</v>
      </c>
      <c r="AD133" s="162"/>
    </row>
    <row r="134" spans="1:30" s="32" customFormat="1" ht="12" customHeight="1">
      <c r="A134" s="19"/>
      <c r="B134" s="19"/>
      <c r="C134" s="19"/>
      <c r="D134" s="46" t="s">
        <v>400</v>
      </c>
      <c r="E134" s="4"/>
      <c r="F134" s="35"/>
      <c r="G134" s="5">
        <f>SUM(G131:G133)</f>
        <v>438952</v>
      </c>
      <c r="H134" s="35"/>
      <c r="I134" s="5">
        <f>SUM(I131:I133)</f>
        <v>23500</v>
      </c>
      <c r="J134" s="5">
        <f>SUM(J131:J133)</f>
        <v>22877</v>
      </c>
      <c r="K134" s="5">
        <f>SUM(K131:K133)</f>
        <v>623</v>
      </c>
      <c r="L134" s="35"/>
      <c r="M134" s="5">
        <f>SUM(M131:M133)</f>
        <v>98500</v>
      </c>
      <c r="N134" s="5">
        <f>SUM(N131:N133)</f>
        <v>102027</v>
      </c>
      <c r="O134" s="114">
        <f t="shared" si="21"/>
        <v>-3527</v>
      </c>
      <c r="P134" s="35"/>
      <c r="Q134" s="5">
        <f>SUM(Q131:Q133)</f>
        <v>0</v>
      </c>
      <c r="R134" s="5">
        <f>SUM(R131:R133)</f>
        <v>1447</v>
      </c>
      <c r="S134" s="120">
        <f t="shared" si="22"/>
        <v>-1447</v>
      </c>
      <c r="T134" s="35"/>
      <c r="U134" s="5">
        <f>SUM(U131:U133)</f>
        <v>0</v>
      </c>
      <c r="V134" s="35"/>
      <c r="W134" s="122">
        <f t="shared" si="23"/>
        <v>565303</v>
      </c>
      <c r="X134" s="35"/>
      <c r="Y134" s="5">
        <f>SUM(Y131:Y133)</f>
        <v>140237</v>
      </c>
      <c r="Z134" s="5">
        <f>SUM(Z131:Z133)</f>
        <v>-425066</v>
      </c>
      <c r="AA134" s="5">
        <f>SUM(AA131:AA133)</f>
        <v>48501</v>
      </c>
      <c r="AD134" s="164"/>
    </row>
    <row r="135" spans="1:30" s="1" customFormat="1" ht="6" customHeight="1">
      <c r="A135" s="38"/>
      <c r="B135" s="38"/>
      <c r="C135" s="38"/>
      <c r="D135" s="39"/>
      <c r="E135" s="40"/>
      <c r="F135" s="53"/>
      <c r="G135" s="41"/>
      <c r="H135" s="53"/>
      <c r="I135" s="42"/>
      <c r="J135" s="41"/>
      <c r="K135" s="43"/>
      <c r="L135" s="53"/>
      <c r="M135" s="42"/>
      <c r="N135" s="41"/>
      <c r="O135" s="113">
        <f t="shared" si="21"/>
        <v>0</v>
      </c>
      <c r="P135" s="53"/>
      <c r="Q135" s="42"/>
      <c r="R135" s="42"/>
      <c r="S135" s="118">
        <f t="shared" si="22"/>
        <v>0</v>
      </c>
      <c r="T135" s="53"/>
      <c r="U135" s="103"/>
      <c r="V135" s="53"/>
      <c r="W135" s="121">
        <f t="shared" si="23"/>
        <v>0</v>
      </c>
      <c r="X135" s="53"/>
      <c r="Y135" s="44"/>
      <c r="Z135" s="44"/>
      <c r="AA135" s="41"/>
      <c r="AD135" s="162"/>
    </row>
    <row r="136" spans="1:30" s="1" customFormat="1" ht="12" customHeight="1">
      <c r="A136" s="6" t="s">
        <v>167</v>
      </c>
      <c r="B136" s="6" t="s">
        <v>201</v>
      </c>
      <c r="C136" s="17" t="s">
        <v>58</v>
      </c>
      <c r="D136" s="18" t="s">
        <v>402</v>
      </c>
      <c r="E136" s="16"/>
      <c r="F136" s="53"/>
      <c r="G136" s="2">
        <v>139794</v>
      </c>
      <c r="H136" s="53"/>
      <c r="I136" s="10"/>
      <c r="J136" s="2"/>
      <c r="K136" s="58">
        <f>SUM(I136-J136)</f>
        <v>0</v>
      </c>
      <c r="L136" s="53"/>
      <c r="M136" s="10">
        <v>109000</v>
      </c>
      <c r="N136" s="2">
        <v>6842</v>
      </c>
      <c r="O136" s="58">
        <f t="shared" si="21"/>
        <v>102158</v>
      </c>
      <c r="P136" s="53"/>
      <c r="Q136" s="10"/>
      <c r="R136" s="10"/>
      <c r="S136" s="98">
        <f t="shared" si="22"/>
        <v>0</v>
      </c>
      <c r="T136" s="53"/>
      <c r="U136" s="100"/>
      <c r="V136" s="53"/>
      <c r="W136" s="59">
        <f t="shared" si="23"/>
        <v>146636</v>
      </c>
      <c r="X136" s="53"/>
      <c r="Y136" s="8"/>
      <c r="Z136" s="8">
        <f>SUM(Y136-W136)</f>
        <v>-146636</v>
      </c>
      <c r="AA136" s="2"/>
      <c r="AD136" s="162"/>
    </row>
    <row r="137" spans="1:30" s="1" customFormat="1" ht="12" customHeight="1">
      <c r="A137" s="6" t="s">
        <v>167</v>
      </c>
      <c r="B137" s="6">
        <v>14</v>
      </c>
      <c r="C137" s="6" t="s">
        <v>202</v>
      </c>
      <c r="D137" s="15" t="s">
        <v>203</v>
      </c>
      <c r="E137" s="16"/>
      <c r="F137" s="53"/>
      <c r="G137" s="2">
        <v>56780</v>
      </c>
      <c r="H137" s="53"/>
      <c r="I137" s="10"/>
      <c r="J137" s="2"/>
      <c r="K137" s="58">
        <f>SUM(I137-J137)</f>
        <v>0</v>
      </c>
      <c r="L137" s="53"/>
      <c r="M137" s="10"/>
      <c r="N137" s="2">
        <v>34596</v>
      </c>
      <c r="O137" s="58">
        <f t="shared" si="21"/>
        <v>-34596</v>
      </c>
      <c r="P137" s="53"/>
      <c r="Q137" s="10"/>
      <c r="R137" s="10"/>
      <c r="S137" s="98">
        <f t="shared" si="22"/>
        <v>0</v>
      </c>
      <c r="T137" s="53"/>
      <c r="U137" s="100"/>
      <c r="V137" s="53"/>
      <c r="W137" s="59">
        <f t="shared" si="23"/>
        <v>91376</v>
      </c>
      <c r="X137" s="53"/>
      <c r="Y137" s="8">
        <v>60044.13</v>
      </c>
      <c r="Z137" s="8">
        <f>SUM(Y137-W137)</f>
        <v>-31331.870000000003</v>
      </c>
      <c r="AA137" s="2">
        <v>32146</v>
      </c>
      <c r="AD137" s="162"/>
    </row>
    <row r="138" spans="1:30" s="1" customFormat="1" ht="12" customHeight="1">
      <c r="A138" s="6" t="s">
        <v>167</v>
      </c>
      <c r="B138" s="6">
        <v>14</v>
      </c>
      <c r="C138" s="6" t="s">
        <v>204</v>
      </c>
      <c r="D138" s="15" t="s">
        <v>205</v>
      </c>
      <c r="E138" s="16"/>
      <c r="F138" s="53"/>
      <c r="G138" s="2">
        <v>214869</v>
      </c>
      <c r="H138" s="53"/>
      <c r="I138" s="10">
        <v>19400</v>
      </c>
      <c r="J138" s="2">
        <v>18612</v>
      </c>
      <c r="K138" s="58">
        <f>SUM(I138-J138)</f>
        <v>788</v>
      </c>
      <c r="L138" s="53"/>
      <c r="M138" s="10">
        <v>2600</v>
      </c>
      <c r="N138" s="2">
        <v>67701</v>
      </c>
      <c r="O138" s="58">
        <f t="shared" si="21"/>
        <v>-65101</v>
      </c>
      <c r="P138" s="53"/>
      <c r="Q138" s="10">
        <v>21250</v>
      </c>
      <c r="R138" s="10">
        <v>20715</v>
      </c>
      <c r="S138" s="98">
        <f t="shared" si="22"/>
        <v>535</v>
      </c>
      <c r="T138" s="53"/>
      <c r="U138" s="100"/>
      <c r="V138" s="53"/>
      <c r="W138" s="59">
        <f t="shared" si="23"/>
        <v>321897</v>
      </c>
      <c r="X138" s="53"/>
      <c r="Y138" s="8">
        <v>59231.5</v>
      </c>
      <c r="Z138" s="8">
        <f>SUM(Y138-W138)</f>
        <v>-262665.5</v>
      </c>
      <c r="AA138" s="2">
        <v>65035</v>
      </c>
      <c r="AD138" s="162"/>
    </row>
    <row r="139" spans="1:30" s="32" customFormat="1" ht="12" customHeight="1">
      <c r="A139" s="19"/>
      <c r="B139" s="19"/>
      <c r="C139" s="19"/>
      <c r="D139" s="47" t="s">
        <v>401</v>
      </c>
      <c r="E139" s="21"/>
      <c r="F139" s="35"/>
      <c r="G139" s="5">
        <f>SUM(G136:G138)</f>
        <v>411443</v>
      </c>
      <c r="H139" s="35"/>
      <c r="I139" s="5">
        <f>SUM(I136:I138)</f>
        <v>19400</v>
      </c>
      <c r="J139" s="5">
        <f>SUM(J136:J138)</f>
        <v>18612</v>
      </c>
      <c r="K139" s="5">
        <f>SUM(K136:K138)</f>
        <v>788</v>
      </c>
      <c r="L139" s="35"/>
      <c r="M139" s="5">
        <f>SUM(M136:M138)</f>
        <v>111600</v>
      </c>
      <c r="N139" s="5">
        <f>SUM(N136:N138)</f>
        <v>109139</v>
      </c>
      <c r="O139" s="114">
        <f t="shared" si="21"/>
        <v>2461</v>
      </c>
      <c r="P139" s="35"/>
      <c r="Q139" s="5">
        <f>SUM(Q136:Q138)</f>
        <v>21250</v>
      </c>
      <c r="R139" s="5">
        <f>SUM(R136:R138)</f>
        <v>20715</v>
      </c>
      <c r="S139" s="120">
        <f t="shared" si="22"/>
        <v>535</v>
      </c>
      <c r="T139" s="35"/>
      <c r="U139" s="5">
        <f>SUM(U136:U138)</f>
        <v>0</v>
      </c>
      <c r="V139" s="35"/>
      <c r="W139" s="122">
        <f t="shared" si="23"/>
        <v>559909</v>
      </c>
      <c r="X139" s="35"/>
      <c r="Y139" s="5">
        <f>SUM(Y136:Y138)</f>
        <v>119275.63</v>
      </c>
      <c r="Z139" s="5">
        <f>SUM(Z136:Z138)</f>
        <v>-440633.37</v>
      </c>
      <c r="AA139" s="5">
        <f>SUM(AA136:AA138)</f>
        <v>97181</v>
      </c>
      <c r="AD139" s="164"/>
    </row>
    <row r="140" spans="1:30" s="1" customFormat="1" ht="6" customHeight="1">
      <c r="A140" s="38"/>
      <c r="B140" s="38"/>
      <c r="C140" s="38"/>
      <c r="D140" s="39"/>
      <c r="E140" s="40"/>
      <c r="F140" s="53"/>
      <c r="G140" s="41"/>
      <c r="H140" s="53"/>
      <c r="I140" s="42"/>
      <c r="J140" s="41"/>
      <c r="K140" s="43"/>
      <c r="L140" s="53"/>
      <c r="M140" s="42"/>
      <c r="N140" s="41"/>
      <c r="O140" s="113">
        <f t="shared" si="21"/>
        <v>0</v>
      </c>
      <c r="P140" s="53"/>
      <c r="Q140" s="42"/>
      <c r="R140" s="42"/>
      <c r="S140" s="118">
        <f t="shared" si="22"/>
        <v>0</v>
      </c>
      <c r="T140" s="53"/>
      <c r="U140" s="103"/>
      <c r="V140" s="53"/>
      <c r="W140" s="121">
        <f t="shared" si="23"/>
        <v>0</v>
      </c>
      <c r="X140" s="53"/>
      <c r="Y140" s="44"/>
      <c r="Z140" s="44"/>
      <c r="AA140" s="41"/>
      <c r="AD140" s="162"/>
    </row>
    <row r="141" spans="1:30" s="1" customFormat="1" ht="12" customHeight="1">
      <c r="A141" s="6" t="s">
        <v>167</v>
      </c>
      <c r="B141" s="6">
        <v>17</v>
      </c>
      <c r="C141" s="17" t="s">
        <v>58</v>
      </c>
      <c r="D141" s="18" t="s">
        <v>403</v>
      </c>
      <c r="E141" s="16"/>
      <c r="F141" s="53"/>
      <c r="G141" s="2">
        <v>223499</v>
      </c>
      <c r="H141" s="53"/>
      <c r="I141" s="10"/>
      <c r="J141" s="2"/>
      <c r="K141" s="58">
        <f>SUM(I141-J141)</f>
        <v>0</v>
      </c>
      <c r="L141" s="53"/>
      <c r="M141" s="10"/>
      <c r="N141" s="2">
        <v>1187</v>
      </c>
      <c r="O141" s="58">
        <f t="shared" si="21"/>
        <v>-1187</v>
      </c>
      <c r="P141" s="53"/>
      <c r="Q141" s="10"/>
      <c r="R141" s="10"/>
      <c r="S141" s="98">
        <f t="shared" si="22"/>
        <v>0</v>
      </c>
      <c r="T141" s="53"/>
      <c r="U141" s="100"/>
      <c r="V141" s="53"/>
      <c r="W141" s="59">
        <f t="shared" si="23"/>
        <v>224686</v>
      </c>
      <c r="X141" s="53"/>
      <c r="Y141" s="8"/>
      <c r="Z141" s="8">
        <f>SUM(Y141-W141)</f>
        <v>-224686</v>
      </c>
      <c r="AA141" s="2"/>
      <c r="AD141" s="162"/>
    </row>
    <row r="142" spans="1:30" s="1" customFormat="1" ht="12" customHeight="1">
      <c r="A142" s="6" t="s">
        <v>167</v>
      </c>
      <c r="B142" s="6">
        <v>17</v>
      </c>
      <c r="C142" s="17" t="s">
        <v>206</v>
      </c>
      <c r="D142" s="15" t="s">
        <v>207</v>
      </c>
      <c r="E142" s="13"/>
      <c r="F142" s="53"/>
      <c r="G142" s="2">
        <v>288891</v>
      </c>
      <c r="H142" s="53"/>
      <c r="I142" s="10">
        <v>15000</v>
      </c>
      <c r="J142" s="2">
        <v>11608</v>
      </c>
      <c r="K142" s="58">
        <f>SUM(I142-J142)</f>
        <v>3392</v>
      </c>
      <c r="L142" s="53"/>
      <c r="M142" s="10">
        <v>115000</v>
      </c>
      <c r="N142" s="2">
        <v>115729</v>
      </c>
      <c r="O142" s="58">
        <f t="shared" si="21"/>
        <v>-729</v>
      </c>
      <c r="P142" s="53"/>
      <c r="Q142" s="10">
        <v>37362</v>
      </c>
      <c r="R142" s="10">
        <v>37917</v>
      </c>
      <c r="S142" s="98">
        <f t="shared" si="22"/>
        <v>-555</v>
      </c>
      <c r="T142" s="53"/>
      <c r="U142" s="100"/>
      <c r="V142" s="53"/>
      <c r="W142" s="59">
        <f t="shared" si="23"/>
        <v>454145</v>
      </c>
      <c r="X142" s="53"/>
      <c r="Y142" s="8">
        <v>650941.06999999995</v>
      </c>
      <c r="Z142" s="8">
        <f>SUM(Y142-W142)</f>
        <v>196796.06999999995</v>
      </c>
      <c r="AA142" s="2">
        <v>376674</v>
      </c>
      <c r="AD142" s="162"/>
    </row>
    <row r="143" spans="1:30" s="1" customFormat="1" ht="12" customHeight="1">
      <c r="A143" s="6" t="s">
        <v>167</v>
      </c>
      <c r="B143" s="6">
        <v>17</v>
      </c>
      <c r="C143" s="17" t="s">
        <v>208</v>
      </c>
      <c r="D143" s="15" t="s">
        <v>209</v>
      </c>
      <c r="E143" s="13"/>
      <c r="F143" s="53"/>
      <c r="G143" s="2">
        <v>97075</v>
      </c>
      <c r="H143" s="53"/>
      <c r="I143" s="10">
        <v>15000</v>
      </c>
      <c r="J143" s="2">
        <v>15275</v>
      </c>
      <c r="K143" s="58">
        <f>SUM(I143-J143)</f>
        <v>-275</v>
      </c>
      <c r="L143" s="53"/>
      <c r="M143" s="10">
        <v>45000</v>
      </c>
      <c r="N143" s="2">
        <v>48442</v>
      </c>
      <c r="O143" s="58">
        <f t="shared" si="21"/>
        <v>-3442</v>
      </c>
      <c r="P143" s="53"/>
      <c r="Q143" s="10">
        <v>3000</v>
      </c>
      <c r="R143" s="10">
        <v>1500</v>
      </c>
      <c r="S143" s="98">
        <f t="shared" si="22"/>
        <v>1500</v>
      </c>
      <c r="T143" s="53"/>
      <c r="U143" s="100"/>
      <c r="V143" s="53"/>
      <c r="W143" s="59">
        <f t="shared" si="23"/>
        <v>162292</v>
      </c>
      <c r="X143" s="53"/>
      <c r="Y143" s="8">
        <v>44443.22</v>
      </c>
      <c r="Z143" s="8">
        <f>SUM(Y143-W143)</f>
        <v>-117848.78</v>
      </c>
      <c r="AA143" s="2">
        <v>24009</v>
      </c>
      <c r="AD143" s="162"/>
    </row>
    <row r="144" spans="1:30" s="32" customFormat="1" ht="12" customHeight="1">
      <c r="A144" s="19"/>
      <c r="B144" s="19"/>
      <c r="C144" s="19"/>
      <c r="D144" s="46" t="s">
        <v>404</v>
      </c>
      <c r="E144" s="4"/>
      <c r="F144" s="35"/>
      <c r="G144" s="5">
        <f>SUM(G141:G143)</f>
        <v>609465</v>
      </c>
      <c r="H144" s="35"/>
      <c r="I144" s="5">
        <f>SUM(I141:I143)</f>
        <v>30000</v>
      </c>
      <c r="J144" s="5">
        <f>SUM(J141:J143)</f>
        <v>26883</v>
      </c>
      <c r="K144" s="5">
        <f>SUM(K141:K143)</f>
        <v>3117</v>
      </c>
      <c r="L144" s="35"/>
      <c r="M144" s="5">
        <f>SUM(M141:M143)</f>
        <v>160000</v>
      </c>
      <c r="N144" s="5">
        <f>SUM(N141:N143)</f>
        <v>165358</v>
      </c>
      <c r="O144" s="114">
        <f t="shared" si="21"/>
        <v>-5358</v>
      </c>
      <c r="P144" s="35"/>
      <c r="Q144" s="5">
        <f>SUM(Q141:Q143)</f>
        <v>40362</v>
      </c>
      <c r="R144" s="5">
        <f>SUM(R141:R143)</f>
        <v>39417</v>
      </c>
      <c r="S144" s="120">
        <f t="shared" si="22"/>
        <v>945</v>
      </c>
      <c r="T144" s="35"/>
      <c r="U144" s="5">
        <f>SUM(U141:U143)</f>
        <v>0</v>
      </c>
      <c r="V144" s="35"/>
      <c r="W144" s="122">
        <f t="shared" si="23"/>
        <v>841123</v>
      </c>
      <c r="X144" s="35"/>
      <c r="Y144" s="5">
        <f>SUM(Y141:Y143)</f>
        <v>695384.28999999992</v>
      </c>
      <c r="Z144" s="5">
        <f>SUM(Z141:Z143)</f>
        <v>-145738.71000000005</v>
      </c>
      <c r="AA144" s="5">
        <f>SUM(AA141:AA143)</f>
        <v>400683</v>
      </c>
      <c r="AD144" s="164"/>
    </row>
    <row r="145" spans="1:30" s="1" customFormat="1" ht="6" customHeight="1">
      <c r="A145" s="38"/>
      <c r="B145" s="38"/>
      <c r="C145" s="38"/>
      <c r="D145" s="39"/>
      <c r="E145" s="40"/>
      <c r="F145" s="53"/>
      <c r="G145" s="41"/>
      <c r="H145" s="53"/>
      <c r="I145" s="42"/>
      <c r="J145" s="41"/>
      <c r="K145" s="43"/>
      <c r="L145" s="53"/>
      <c r="M145" s="42"/>
      <c r="N145" s="41"/>
      <c r="O145" s="113">
        <f t="shared" si="21"/>
        <v>0</v>
      </c>
      <c r="P145" s="53"/>
      <c r="Q145" s="42"/>
      <c r="R145" s="42"/>
      <c r="S145" s="118">
        <f t="shared" si="22"/>
        <v>0</v>
      </c>
      <c r="T145" s="53"/>
      <c r="U145" s="103"/>
      <c r="V145" s="53"/>
      <c r="W145" s="121">
        <f t="shared" si="23"/>
        <v>0</v>
      </c>
      <c r="X145" s="53"/>
      <c r="Y145" s="44"/>
      <c r="Z145" s="44"/>
      <c r="AA145" s="41"/>
      <c r="AD145" s="162"/>
    </row>
    <row r="146" spans="1:30" s="1" customFormat="1" ht="12" customHeight="1">
      <c r="A146" s="6" t="s">
        <v>167</v>
      </c>
      <c r="B146" s="6" t="s">
        <v>17</v>
      </c>
      <c r="C146" s="6" t="s">
        <v>58</v>
      </c>
      <c r="D146" s="18" t="s">
        <v>210</v>
      </c>
      <c r="E146" s="16"/>
      <c r="F146" s="53"/>
      <c r="G146" s="2">
        <v>202340</v>
      </c>
      <c r="H146" s="53"/>
      <c r="I146" s="10">
        <v>21000</v>
      </c>
      <c r="J146" s="2">
        <v>2330</v>
      </c>
      <c r="K146" s="58">
        <f>SUM(I146-J146)</f>
        <v>18670</v>
      </c>
      <c r="L146" s="53"/>
      <c r="M146" s="10">
        <v>125000</v>
      </c>
      <c r="N146" s="2">
        <v>26831</v>
      </c>
      <c r="O146" s="58">
        <f t="shared" si="21"/>
        <v>98169</v>
      </c>
      <c r="P146" s="53"/>
      <c r="Q146" s="10">
        <v>11800</v>
      </c>
      <c r="R146" s="10">
        <v>11820</v>
      </c>
      <c r="S146" s="98">
        <f t="shared" si="22"/>
        <v>-20</v>
      </c>
      <c r="T146" s="53"/>
      <c r="U146" s="100"/>
      <c r="V146" s="53"/>
      <c r="W146" s="59">
        <f t="shared" si="23"/>
        <v>243321</v>
      </c>
      <c r="X146" s="53"/>
      <c r="Y146" s="8"/>
      <c r="Z146" s="8">
        <f>SUM(Y146-W146)</f>
        <v>-243321</v>
      </c>
      <c r="AA146" s="2"/>
      <c r="AD146" s="162"/>
    </row>
    <row r="147" spans="1:30" s="1" customFormat="1" ht="12" customHeight="1">
      <c r="A147" s="6"/>
      <c r="B147" s="6"/>
      <c r="C147" s="6"/>
      <c r="D147" s="15" t="s">
        <v>211</v>
      </c>
      <c r="E147" s="16"/>
      <c r="F147" s="53"/>
      <c r="G147" s="2"/>
      <c r="H147" s="53"/>
      <c r="I147" s="10"/>
      <c r="J147" s="2"/>
      <c r="K147" s="58">
        <f>SUM(I147-J147)</f>
        <v>0</v>
      </c>
      <c r="L147" s="53"/>
      <c r="M147" s="10"/>
      <c r="N147" s="2"/>
      <c r="O147" s="58">
        <f t="shared" si="21"/>
        <v>0</v>
      </c>
      <c r="P147" s="53"/>
      <c r="Q147" s="10"/>
      <c r="R147" s="10"/>
      <c r="S147" s="98">
        <f t="shared" si="22"/>
        <v>0</v>
      </c>
      <c r="T147" s="53"/>
      <c r="U147" s="100"/>
      <c r="V147" s="53"/>
      <c r="W147" s="59">
        <f t="shared" si="23"/>
        <v>0</v>
      </c>
      <c r="X147" s="53"/>
      <c r="Y147" s="8"/>
      <c r="Z147" s="8"/>
      <c r="AA147" s="2">
        <v>11</v>
      </c>
      <c r="AD147" s="162"/>
    </row>
    <row r="148" spans="1:30" s="1" customFormat="1" ht="12" customHeight="1">
      <c r="A148" s="6" t="s">
        <v>167</v>
      </c>
      <c r="B148" s="6" t="s">
        <v>17</v>
      </c>
      <c r="C148" s="6" t="s">
        <v>212</v>
      </c>
      <c r="D148" s="12" t="s">
        <v>213</v>
      </c>
      <c r="E148" s="13"/>
      <c r="F148" s="53"/>
      <c r="G148" s="2"/>
      <c r="H148" s="53"/>
      <c r="I148" s="10"/>
      <c r="J148" s="2"/>
      <c r="K148" s="58">
        <f>SUM(I148-J148)</f>
        <v>0</v>
      </c>
      <c r="L148" s="53"/>
      <c r="M148" s="10"/>
      <c r="N148" s="2"/>
      <c r="O148" s="58">
        <f t="shared" si="21"/>
        <v>0</v>
      </c>
      <c r="P148" s="53"/>
      <c r="Q148" s="10"/>
      <c r="R148" s="10"/>
      <c r="S148" s="98">
        <f t="shared" si="22"/>
        <v>0</v>
      </c>
      <c r="T148" s="53"/>
      <c r="U148" s="100"/>
      <c r="V148" s="53"/>
      <c r="W148" s="59">
        <f t="shared" si="23"/>
        <v>0</v>
      </c>
      <c r="X148" s="53"/>
      <c r="Y148" s="8"/>
      <c r="Z148" s="8">
        <f>SUM(Y148-W148)</f>
        <v>0</v>
      </c>
      <c r="AA148" s="2">
        <f>15565+38152</f>
        <v>53717</v>
      </c>
      <c r="AD148" s="162"/>
    </row>
    <row r="149" spans="1:30" s="1" customFormat="1" ht="12" customHeight="1">
      <c r="A149" s="6" t="s">
        <v>167</v>
      </c>
      <c r="B149" s="6" t="s">
        <v>17</v>
      </c>
      <c r="C149" s="6" t="s">
        <v>214</v>
      </c>
      <c r="D149" s="12" t="s">
        <v>215</v>
      </c>
      <c r="E149" s="13"/>
      <c r="F149" s="53"/>
      <c r="G149" s="2">
        <v>46992</v>
      </c>
      <c r="H149" s="53"/>
      <c r="I149" s="10"/>
      <c r="J149" s="2">
        <v>12995</v>
      </c>
      <c r="K149" s="58">
        <f>SUM(I149-J149)</f>
        <v>-12995</v>
      </c>
      <c r="L149" s="53"/>
      <c r="M149" s="10"/>
      <c r="N149" s="2">
        <v>6443</v>
      </c>
      <c r="O149" s="58">
        <f t="shared" si="21"/>
        <v>-6443</v>
      </c>
      <c r="P149" s="53"/>
      <c r="Q149" s="10"/>
      <c r="R149" s="10"/>
      <c r="S149" s="98">
        <f t="shared" si="22"/>
        <v>0</v>
      </c>
      <c r="T149" s="53"/>
      <c r="U149" s="100">
        <v>329</v>
      </c>
      <c r="V149" s="53"/>
      <c r="W149" s="59">
        <f t="shared" si="23"/>
        <v>66759</v>
      </c>
      <c r="X149" s="53"/>
      <c r="Y149" s="8">
        <v>11492.9</v>
      </c>
      <c r="Z149" s="8">
        <f>SUM(Y149-W149)</f>
        <v>-55266.1</v>
      </c>
      <c r="AA149" s="2">
        <v>21947</v>
      </c>
      <c r="AD149" s="162"/>
    </row>
    <row r="150" spans="1:30" s="1" customFormat="1" ht="12" customHeight="1">
      <c r="A150" s="6" t="s">
        <v>167</v>
      </c>
      <c r="B150" s="6" t="s">
        <v>17</v>
      </c>
      <c r="C150" s="6" t="s">
        <v>216</v>
      </c>
      <c r="D150" s="12" t="s">
        <v>217</v>
      </c>
      <c r="E150" s="13"/>
      <c r="F150" s="53"/>
      <c r="G150" s="2">
        <v>324729</v>
      </c>
      <c r="H150" s="53"/>
      <c r="I150" s="10">
        <v>3700</v>
      </c>
      <c r="J150" s="2">
        <v>6518</v>
      </c>
      <c r="K150" s="58">
        <f>SUM(I150-J150)</f>
        <v>-2818</v>
      </c>
      <c r="L150" s="53"/>
      <c r="M150" s="10">
        <v>6250</v>
      </c>
      <c r="N150" s="2">
        <v>96272</v>
      </c>
      <c r="O150" s="58">
        <f t="shared" si="21"/>
        <v>-90022</v>
      </c>
      <c r="P150" s="53"/>
      <c r="Q150" s="10"/>
      <c r="R150" s="10"/>
      <c r="S150" s="98">
        <f t="shared" si="22"/>
        <v>0</v>
      </c>
      <c r="T150" s="53"/>
      <c r="U150" s="100"/>
      <c r="V150" s="53"/>
      <c r="W150" s="59">
        <f t="shared" si="23"/>
        <v>427519</v>
      </c>
      <c r="X150" s="53"/>
      <c r="Y150" s="8">
        <v>219190.16</v>
      </c>
      <c r="Z150" s="8">
        <f>SUM(Y150-W150)</f>
        <v>-208328.84</v>
      </c>
      <c r="AA150" s="2">
        <f>87161+1336</f>
        <v>88497</v>
      </c>
      <c r="AD150" s="162"/>
    </row>
    <row r="151" spans="1:30" s="32" customFormat="1" ht="12" customHeight="1">
      <c r="A151" s="19"/>
      <c r="B151" s="19"/>
      <c r="C151" s="19"/>
      <c r="D151" s="46" t="s">
        <v>218</v>
      </c>
      <c r="E151" s="4">
        <f>SUM(E146:E150)</f>
        <v>0</v>
      </c>
      <c r="F151" s="35"/>
      <c r="G151" s="5">
        <f>SUM(G146:G150)</f>
        <v>574061</v>
      </c>
      <c r="H151" s="35"/>
      <c r="I151" s="5">
        <f>SUM(I146:I150)</f>
        <v>24700</v>
      </c>
      <c r="J151" s="5">
        <f>SUM(J146:J150)</f>
        <v>21843</v>
      </c>
      <c r="K151" s="5">
        <f>SUM(K146:K150)</f>
        <v>2857</v>
      </c>
      <c r="L151" s="35"/>
      <c r="M151" s="5">
        <f>SUM(M146:M150)</f>
        <v>131250</v>
      </c>
      <c r="N151" s="5">
        <f>SUM(N146:N150)</f>
        <v>129546</v>
      </c>
      <c r="O151" s="114">
        <f t="shared" si="21"/>
        <v>1704</v>
      </c>
      <c r="P151" s="35"/>
      <c r="Q151" s="5">
        <f>SUM(Q146:Q150)</f>
        <v>11800</v>
      </c>
      <c r="R151" s="5">
        <f>SUM(R146:R150)</f>
        <v>11820</v>
      </c>
      <c r="S151" s="120">
        <f t="shared" si="22"/>
        <v>-20</v>
      </c>
      <c r="T151" s="35"/>
      <c r="U151" s="5">
        <f>SUM(U146:U150)</f>
        <v>329</v>
      </c>
      <c r="V151" s="35"/>
      <c r="W151" s="122">
        <f t="shared" si="23"/>
        <v>737599</v>
      </c>
      <c r="X151" s="35"/>
      <c r="Y151" s="5">
        <f>SUM(Y146:Y150)</f>
        <v>230683.06</v>
      </c>
      <c r="Z151" s="5">
        <f>SUM(Z146:Z150)</f>
        <v>-506915.93999999994</v>
      </c>
      <c r="AA151" s="5">
        <f>SUM(AA146:AA150)</f>
        <v>164172</v>
      </c>
      <c r="AD151" s="164"/>
    </row>
    <row r="152" spans="1:30" s="1" customFormat="1" ht="6" customHeight="1">
      <c r="A152" s="38"/>
      <c r="B152" s="38"/>
      <c r="C152" s="38"/>
      <c r="D152" s="39"/>
      <c r="E152" s="40"/>
      <c r="F152" s="53"/>
      <c r="G152" s="41"/>
      <c r="H152" s="53"/>
      <c r="I152" s="42"/>
      <c r="J152" s="41"/>
      <c r="K152" s="43"/>
      <c r="L152" s="53"/>
      <c r="M152" s="42"/>
      <c r="N152" s="41"/>
      <c r="O152" s="113">
        <f t="shared" si="21"/>
        <v>0</v>
      </c>
      <c r="P152" s="53"/>
      <c r="Q152" s="42"/>
      <c r="R152" s="42"/>
      <c r="S152" s="118">
        <f t="shared" si="22"/>
        <v>0</v>
      </c>
      <c r="T152" s="53"/>
      <c r="U152" s="103"/>
      <c r="V152" s="53"/>
      <c r="W152" s="121">
        <f t="shared" si="23"/>
        <v>0</v>
      </c>
      <c r="X152" s="53"/>
      <c r="Y152" s="44"/>
      <c r="Z152" s="44"/>
      <c r="AA152" s="41"/>
      <c r="AD152" s="162"/>
    </row>
    <row r="153" spans="1:30" s="1" customFormat="1" ht="12" customHeight="1">
      <c r="A153" s="6" t="s">
        <v>167</v>
      </c>
      <c r="B153" s="6" t="s">
        <v>219</v>
      </c>
      <c r="C153" s="6" t="s">
        <v>58</v>
      </c>
      <c r="D153" s="18" t="s">
        <v>397</v>
      </c>
      <c r="E153" s="16"/>
      <c r="F153" s="53"/>
      <c r="G153" s="2">
        <v>211229</v>
      </c>
      <c r="H153" s="53"/>
      <c r="I153" s="10">
        <v>40000</v>
      </c>
      <c r="J153" s="2">
        <v>40147</v>
      </c>
      <c r="K153" s="58">
        <f>SUM(I153-J153)</f>
        <v>-147</v>
      </c>
      <c r="L153" s="53"/>
      <c r="M153" s="10">
        <v>200000</v>
      </c>
      <c r="N153" s="2">
        <v>61902</v>
      </c>
      <c r="O153" s="58">
        <f t="shared" si="21"/>
        <v>138098</v>
      </c>
      <c r="P153" s="53"/>
      <c r="Q153" s="10">
        <v>25251</v>
      </c>
      <c r="R153" s="10">
        <v>23044</v>
      </c>
      <c r="S153" s="98">
        <f t="shared" si="22"/>
        <v>2207</v>
      </c>
      <c r="T153" s="53"/>
      <c r="U153" s="100"/>
      <c r="V153" s="53"/>
      <c r="W153" s="59">
        <f t="shared" si="23"/>
        <v>336322</v>
      </c>
      <c r="X153" s="53"/>
      <c r="Y153" s="8"/>
      <c r="Z153" s="8">
        <f>SUM(Y153-W153)</f>
        <v>-336322</v>
      </c>
      <c r="AA153" s="2"/>
      <c r="AD153" s="162"/>
    </row>
    <row r="154" spans="1:30" s="1" customFormat="1" ht="12" customHeight="1">
      <c r="A154" s="6" t="s">
        <v>167</v>
      </c>
      <c r="B154" s="6" t="s">
        <v>219</v>
      </c>
      <c r="C154" s="6" t="s">
        <v>220</v>
      </c>
      <c r="D154" s="12" t="s">
        <v>221</v>
      </c>
      <c r="E154" s="13"/>
      <c r="F154" s="53"/>
      <c r="G154" s="2">
        <v>2278</v>
      </c>
      <c r="H154" s="53"/>
      <c r="I154" s="10"/>
      <c r="J154" s="2"/>
      <c r="K154" s="58">
        <f>SUM(I154-J154)</f>
        <v>0</v>
      </c>
      <c r="L154" s="53"/>
      <c r="M154" s="10"/>
      <c r="N154" s="2"/>
      <c r="O154" s="58">
        <f t="shared" si="21"/>
        <v>0</v>
      </c>
      <c r="P154" s="53"/>
      <c r="Q154" s="10"/>
      <c r="R154" s="10"/>
      <c r="S154" s="98">
        <f t="shared" si="22"/>
        <v>0</v>
      </c>
      <c r="T154" s="53"/>
      <c r="U154" s="100"/>
      <c r="V154" s="53"/>
      <c r="W154" s="59">
        <f t="shared" si="23"/>
        <v>2278</v>
      </c>
      <c r="X154" s="53"/>
      <c r="Y154" s="8">
        <v>50.88</v>
      </c>
      <c r="Z154" s="8">
        <f>SUM(Y154-W154)</f>
        <v>-2227.12</v>
      </c>
      <c r="AA154" s="2">
        <v>6702</v>
      </c>
      <c r="AD154" s="162"/>
    </row>
    <row r="155" spans="1:30" s="1" customFormat="1" ht="12" customHeight="1">
      <c r="A155" s="6" t="s">
        <v>167</v>
      </c>
      <c r="B155" s="6" t="s">
        <v>219</v>
      </c>
      <c r="C155" s="6" t="s">
        <v>222</v>
      </c>
      <c r="D155" s="12" t="s">
        <v>223</v>
      </c>
      <c r="E155" s="13"/>
      <c r="F155" s="53"/>
      <c r="G155" s="2">
        <v>102353</v>
      </c>
      <c r="H155" s="53"/>
      <c r="I155" s="10"/>
      <c r="J155" s="2"/>
      <c r="K155" s="58">
        <f>SUM(I155-J155)</f>
        <v>0</v>
      </c>
      <c r="L155" s="53"/>
      <c r="M155" s="10"/>
      <c r="N155" s="2">
        <v>6248</v>
      </c>
      <c r="O155" s="58">
        <f t="shared" si="21"/>
        <v>-6248</v>
      </c>
      <c r="P155" s="53"/>
      <c r="Q155" s="10"/>
      <c r="R155" s="10"/>
      <c r="S155" s="98">
        <f t="shared" si="22"/>
        <v>0</v>
      </c>
      <c r="T155" s="53"/>
      <c r="U155" s="100"/>
      <c r="V155" s="53"/>
      <c r="W155" s="59">
        <f t="shared" si="23"/>
        <v>108601</v>
      </c>
      <c r="X155" s="53"/>
      <c r="Y155" s="8">
        <v>11469.74</v>
      </c>
      <c r="Z155" s="8">
        <f>SUM(Y155-W155)</f>
        <v>-97131.26</v>
      </c>
      <c r="AA155" s="2">
        <v>9115</v>
      </c>
      <c r="AD155" s="162"/>
    </row>
    <row r="156" spans="1:30" s="1" customFormat="1" ht="12" customHeight="1">
      <c r="A156" s="6" t="s">
        <v>167</v>
      </c>
      <c r="B156" s="6" t="s">
        <v>219</v>
      </c>
      <c r="C156" s="6" t="s">
        <v>224</v>
      </c>
      <c r="D156" s="12" t="s">
        <v>225</v>
      </c>
      <c r="E156" s="13"/>
      <c r="F156" s="53"/>
      <c r="G156" s="2">
        <v>338792</v>
      </c>
      <c r="H156" s="53"/>
      <c r="I156" s="10"/>
      <c r="J156" s="2"/>
      <c r="K156" s="58">
        <f>SUM(I156-J156)</f>
        <v>0</v>
      </c>
      <c r="L156" s="53"/>
      <c r="M156" s="10">
        <v>4000</v>
      </c>
      <c r="N156" s="2">
        <v>143395</v>
      </c>
      <c r="O156" s="58">
        <f t="shared" si="21"/>
        <v>-139395</v>
      </c>
      <c r="P156" s="53"/>
      <c r="Q156" s="10"/>
      <c r="R156" s="10"/>
      <c r="S156" s="98">
        <f t="shared" si="22"/>
        <v>0</v>
      </c>
      <c r="T156" s="53"/>
      <c r="U156" s="100"/>
      <c r="V156" s="53"/>
      <c r="W156" s="59">
        <f t="shared" si="23"/>
        <v>482187</v>
      </c>
      <c r="X156" s="53"/>
      <c r="Y156" s="8">
        <v>518403.91</v>
      </c>
      <c r="Z156" s="8">
        <f>SUM(Y156-W156)</f>
        <v>36216.909999999974</v>
      </c>
      <c r="AA156" s="2">
        <v>184317</v>
      </c>
      <c r="AD156" s="162"/>
    </row>
    <row r="157" spans="1:30" s="32" customFormat="1" ht="12" customHeight="1">
      <c r="A157" s="19"/>
      <c r="B157" s="19"/>
      <c r="C157" s="19"/>
      <c r="D157" s="46" t="s">
        <v>398</v>
      </c>
      <c r="E157" s="4">
        <f>SUM(E153:E156)</f>
        <v>0</v>
      </c>
      <c r="F157" s="35"/>
      <c r="G157" s="5">
        <f>SUM(G153:G156)</f>
        <v>654652</v>
      </c>
      <c r="H157" s="35"/>
      <c r="I157" s="5">
        <f>SUM(I153:I156)</f>
        <v>40000</v>
      </c>
      <c r="J157" s="5">
        <f>SUM(J153:J156)</f>
        <v>40147</v>
      </c>
      <c r="K157" s="5">
        <f>SUM(K153:K156)</f>
        <v>-147</v>
      </c>
      <c r="L157" s="35"/>
      <c r="M157" s="5">
        <f>SUM(M153:M156)</f>
        <v>204000</v>
      </c>
      <c r="N157" s="5">
        <f>SUM(N153:N156)</f>
        <v>211545</v>
      </c>
      <c r="O157" s="114">
        <f t="shared" si="21"/>
        <v>-7545</v>
      </c>
      <c r="P157" s="35"/>
      <c r="Q157" s="5">
        <f>SUM(Q153:Q156)</f>
        <v>25251</v>
      </c>
      <c r="R157" s="5">
        <f>SUM(R153:R156)</f>
        <v>23044</v>
      </c>
      <c r="S157" s="120">
        <f t="shared" si="22"/>
        <v>2207</v>
      </c>
      <c r="T157" s="35"/>
      <c r="U157" s="5">
        <f>SUM(U153:U156)</f>
        <v>0</v>
      </c>
      <c r="V157" s="35"/>
      <c r="W157" s="122">
        <f t="shared" si="23"/>
        <v>929388</v>
      </c>
      <c r="X157" s="35"/>
      <c r="Y157" s="5">
        <f>SUM(Y153:Y156)</f>
        <v>529924.53</v>
      </c>
      <c r="Z157" s="5">
        <f>SUM(Z153:Z156)</f>
        <v>-399463.47000000003</v>
      </c>
      <c r="AA157" s="5">
        <f>SUM(AA153:AA156)</f>
        <v>200134</v>
      </c>
      <c r="AD157" s="164"/>
    </row>
    <row r="158" spans="1:30" s="1" customFormat="1" ht="6" customHeight="1">
      <c r="A158" s="38"/>
      <c r="B158" s="38"/>
      <c r="C158" s="38"/>
      <c r="D158" s="39"/>
      <c r="E158" s="40"/>
      <c r="F158" s="53"/>
      <c r="G158" s="41"/>
      <c r="H158" s="53"/>
      <c r="I158" s="42"/>
      <c r="J158" s="41"/>
      <c r="K158" s="43"/>
      <c r="L158" s="53"/>
      <c r="M158" s="42"/>
      <c r="N158" s="41"/>
      <c r="O158" s="113">
        <f t="shared" si="21"/>
        <v>0</v>
      </c>
      <c r="P158" s="53"/>
      <c r="Q158" s="42"/>
      <c r="R158" s="42"/>
      <c r="S158" s="118">
        <f t="shared" si="22"/>
        <v>0</v>
      </c>
      <c r="T158" s="53"/>
      <c r="U158" s="103"/>
      <c r="V158" s="53"/>
      <c r="W158" s="121">
        <f t="shared" si="23"/>
        <v>0</v>
      </c>
      <c r="X158" s="53"/>
      <c r="Y158" s="44"/>
      <c r="Z158" s="44"/>
      <c r="AA158" s="41"/>
      <c r="AD158" s="162"/>
    </row>
    <row r="159" spans="1:30" s="32" customFormat="1" ht="12.9" customHeight="1">
      <c r="A159" s="19" t="s">
        <v>167</v>
      </c>
      <c r="B159" s="19" t="s">
        <v>18</v>
      </c>
      <c r="C159" s="19" t="s">
        <v>93</v>
      </c>
      <c r="D159" s="18" t="s">
        <v>226</v>
      </c>
      <c r="E159" s="4"/>
      <c r="F159" s="35"/>
      <c r="G159" s="5">
        <v>676396</v>
      </c>
      <c r="H159" s="35"/>
      <c r="I159" s="22">
        <v>45787</v>
      </c>
      <c r="J159" s="5">
        <v>45442</v>
      </c>
      <c r="K159" s="58">
        <f>SUM(I159-J159)</f>
        <v>345</v>
      </c>
      <c r="L159" s="35"/>
      <c r="M159" s="22">
        <v>346398</v>
      </c>
      <c r="N159" s="5">
        <v>322038</v>
      </c>
      <c r="O159" s="114">
        <f t="shared" si="21"/>
        <v>24360</v>
      </c>
      <c r="P159" s="35"/>
      <c r="Q159" s="22">
        <v>42252</v>
      </c>
      <c r="R159" s="22">
        <v>40900</v>
      </c>
      <c r="S159" s="120">
        <f t="shared" si="22"/>
        <v>1352</v>
      </c>
      <c r="T159" s="35"/>
      <c r="U159" s="105"/>
      <c r="V159" s="35"/>
      <c r="W159" s="122">
        <f t="shared" si="23"/>
        <v>1084776</v>
      </c>
      <c r="X159" s="35"/>
      <c r="Y159" s="14"/>
      <c r="Z159" s="14">
        <f>SUM(Y159-W159)</f>
        <v>-1084776</v>
      </c>
      <c r="AA159" s="5"/>
      <c r="AD159" s="164"/>
    </row>
    <row r="160" spans="1:30" s="32" customFormat="1" ht="6" hidden="1" customHeight="1">
      <c r="A160" s="19"/>
      <c r="B160" s="19"/>
      <c r="C160" s="19"/>
      <c r="D160" s="18"/>
      <c r="E160" s="4"/>
      <c r="F160" s="35"/>
      <c r="G160" s="5"/>
      <c r="H160" s="35"/>
      <c r="I160" s="22"/>
      <c r="J160" s="5"/>
      <c r="K160" s="58">
        <f>SUM(I160-J160)</f>
        <v>0</v>
      </c>
      <c r="L160" s="35"/>
      <c r="M160" s="22"/>
      <c r="N160" s="5"/>
      <c r="O160" s="58">
        <f t="shared" si="21"/>
        <v>0</v>
      </c>
      <c r="P160" s="35"/>
      <c r="Q160" s="22"/>
      <c r="R160" s="22"/>
      <c r="S160" s="98">
        <f t="shared" si="22"/>
        <v>0</v>
      </c>
      <c r="T160" s="35"/>
      <c r="U160" s="105"/>
      <c r="V160" s="35"/>
      <c r="W160" s="59">
        <f t="shared" si="23"/>
        <v>0</v>
      </c>
      <c r="X160" s="35"/>
      <c r="Y160" s="14"/>
      <c r="Z160" s="14"/>
      <c r="AA160" s="5"/>
      <c r="AD160" s="164"/>
    </row>
    <row r="161" spans="1:30" s="32" customFormat="1" ht="16.5" customHeight="1">
      <c r="A161" s="19"/>
      <c r="B161" s="19"/>
      <c r="C161" s="19"/>
      <c r="D161" s="48" t="s">
        <v>227</v>
      </c>
      <c r="E161" s="4">
        <f>SUM(E114:E129, +E134+E139+E144+E151+E157+E159)</f>
        <v>0</v>
      </c>
      <c r="F161" s="35"/>
      <c r="G161" s="83">
        <f>SUM(G114:G129)+G134+G139+G144+G151+G157+G159</f>
        <v>6711232</v>
      </c>
      <c r="H161" s="84"/>
      <c r="I161" s="83">
        <f>SUM(I114:I129)+I134+I139+I144+I151+I157+I159</f>
        <v>500687</v>
      </c>
      <c r="J161" s="83">
        <f>SUM(J114:J129)+J134+J139+J144+J151+J157+J159</f>
        <v>489789</v>
      </c>
      <c r="K161" s="83">
        <f>SUM(K114:K129)+K134+K139+K144+K151+K157+K159</f>
        <v>10898</v>
      </c>
      <c r="L161" s="84"/>
      <c r="M161" s="83">
        <f>SUM(M114:M129)+M134+M139+M144+M151+M157+M159</f>
        <v>2017678</v>
      </c>
      <c r="N161" s="83">
        <f>SUM(N114:N129)+N134+N139+N144+N151+N157+N159</f>
        <v>2010745</v>
      </c>
      <c r="O161" s="114">
        <f t="shared" si="21"/>
        <v>6933</v>
      </c>
      <c r="P161" s="84"/>
      <c r="Q161" s="83">
        <f>SUM(Q114:Q129)+Q134+Q139+Q144+Q151+Q157+Q159</f>
        <v>386918</v>
      </c>
      <c r="R161" s="83">
        <f>SUM(R114:R129)+R134+R139+R144+R151+R157+R159</f>
        <v>375357</v>
      </c>
      <c r="S161" s="120">
        <f t="shared" si="22"/>
        <v>11561</v>
      </c>
      <c r="T161" s="84"/>
      <c r="U161" s="83">
        <f>SUM(U114:U129)+U134+U139+U144+U151+U157+U159</f>
        <v>7856</v>
      </c>
      <c r="V161" s="84"/>
      <c r="W161" s="122">
        <f t="shared" si="23"/>
        <v>9594979</v>
      </c>
      <c r="X161" s="84"/>
      <c r="Y161" s="83">
        <f>SUM(Y114:Y129)+Y134+Y139+Y144+Y151+Y157+Y159</f>
        <v>4438171.42</v>
      </c>
      <c r="Z161" s="83">
        <f>SUM(Z114:Z129)+Z134+Z139+Z144+Z151+Z157+Z159</f>
        <v>-5156807.58</v>
      </c>
      <c r="AA161" s="83">
        <f>SUM(AA114:AA129)+AA134+AA139+AA144+AA151+AA157+AA159</f>
        <v>2963287</v>
      </c>
      <c r="AD161" s="164"/>
    </row>
    <row r="162" spans="1:30" s="1" customFormat="1" ht="13.35" customHeight="1">
      <c r="A162" s="6"/>
      <c r="B162" s="6"/>
      <c r="C162" s="6"/>
      <c r="D162" s="49" t="s">
        <v>228</v>
      </c>
      <c r="E162" s="7"/>
      <c r="F162" s="53"/>
      <c r="G162" s="2"/>
      <c r="H162" s="53"/>
      <c r="I162" s="2"/>
      <c r="J162" s="2"/>
      <c r="K162" s="9"/>
      <c r="L162" s="53"/>
      <c r="M162" s="2"/>
      <c r="N162" s="2"/>
      <c r="O162" s="58">
        <f t="shared" si="21"/>
        <v>0</v>
      </c>
      <c r="P162" s="53"/>
      <c r="Q162" s="2"/>
      <c r="R162" s="2"/>
      <c r="S162" s="98">
        <f t="shared" si="22"/>
        <v>0</v>
      </c>
      <c r="T162" s="53"/>
      <c r="U162" s="104"/>
      <c r="V162" s="53"/>
      <c r="W162" s="59">
        <f t="shared" si="23"/>
        <v>0</v>
      </c>
      <c r="X162" s="53"/>
      <c r="Y162" s="8"/>
      <c r="Z162" s="8"/>
      <c r="AA162" s="2"/>
      <c r="AD162" s="162"/>
    </row>
    <row r="163" spans="1:30" s="1" customFormat="1" ht="12" customHeight="1">
      <c r="A163" s="6" t="s">
        <v>229</v>
      </c>
      <c r="B163" s="6" t="s">
        <v>18</v>
      </c>
      <c r="C163" s="6" t="s">
        <v>230</v>
      </c>
      <c r="D163" s="15" t="s">
        <v>231</v>
      </c>
      <c r="E163" s="13"/>
      <c r="F163" s="53"/>
      <c r="G163" s="2">
        <v>217195</v>
      </c>
      <c r="H163" s="53"/>
      <c r="I163" s="10">
        <v>13000</v>
      </c>
      <c r="J163" s="2">
        <v>16226</v>
      </c>
      <c r="K163" s="58">
        <f t="shared" ref="K163:K176" si="24">SUM(I163-J163)</f>
        <v>-3226</v>
      </c>
      <c r="L163" s="53"/>
      <c r="M163" s="10">
        <v>88863</v>
      </c>
      <c r="N163" s="2">
        <v>91425</v>
      </c>
      <c r="O163" s="58">
        <f t="shared" si="21"/>
        <v>-2562</v>
      </c>
      <c r="P163" s="53"/>
      <c r="Q163" s="10">
        <v>18920</v>
      </c>
      <c r="R163" s="10">
        <v>9970</v>
      </c>
      <c r="S163" s="98">
        <f t="shared" si="22"/>
        <v>8950</v>
      </c>
      <c r="T163" s="53"/>
      <c r="U163" s="100"/>
      <c r="V163" s="53"/>
      <c r="W163" s="59">
        <f t="shared" si="23"/>
        <v>334816</v>
      </c>
      <c r="X163" s="53"/>
      <c r="Y163" s="8">
        <v>241187.71</v>
      </c>
      <c r="Z163" s="8">
        <f t="shared" ref="Z163:Z171" si="25">SUM(Y163-W163)</f>
        <v>-93628.290000000008</v>
      </c>
      <c r="AA163" s="2">
        <v>59511</v>
      </c>
      <c r="AD163" s="162"/>
    </row>
    <row r="164" spans="1:30" s="1" customFormat="1" ht="12" customHeight="1">
      <c r="A164" s="6" t="s">
        <v>229</v>
      </c>
      <c r="B164" s="6" t="s">
        <v>18</v>
      </c>
      <c r="C164" s="6" t="s">
        <v>232</v>
      </c>
      <c r="D164" s="15" t="s">
        <v>233</v>
      </c>
      <c r="E164" s="13"/>
      <c r="F164" s="53"/>
      <c r="G164" s="2">
        <v>104746</v>
      </c>
      <c r="H164" s="53"/>
      <c r="I164" s="10">
        <v>5700</v>
      </c>
      <c r="J164" s="2">
        <v>5427</v>
      </c>
      <c r="K164" s="58">
        <f t="shared" si="24"/>
        <v>273</v>
      </c>
      <c r="L164" s="53"/>
      <c r="M164" s="10">
        <v>34234</v>
      </c>
      <c r="N164" s="2">
        <v>34012</v>
      </c>
      <c r="O164" s="58">
        <f t="shared" si="21"/>
        <v>222</v>
      </c>
      <c r="P164" s="53"/>
      <c r="Q164" s="10">
        <v>24800</v>
      </c>
      <c r="R164" s="10">
        <v>24468</v>
      </c>
      <c r="S164" s="98">
        <f t="shared" si="22"/>
        <v>332</v>
      </c>
      <c r="T164" s="53"/>
      <c r="U164" s="100">
        <v>975</v>
      </c>
      <c r="V164" s="53"/>
      <c r="W164" s="59">
        <f t="shared" si="23"/>
        <v>169628</v>
      </c>
      <c r="X164" s="53"/>
      <c r="Y164" s="8">
        <v>21142.99</v>
      </c>
      <c r="Z164" s="8">
        <f t="shared" si="25"/>
        <v>-148485.01</v>
      </c>
      <c r="AA164" s="2">
        <v>23974</v>
      </c>
      <c r="AD164" s="162"/>
    </row>
    <row r="165" spans="1:30" s="1" customFormat="1" ht="12" customHeight="1">
      <c r="A165" s="6" t="s">
        <v>229</v>
      </c>
      <c r="B165" s="6" t="s">
        <v>18</v>
      </c>
      <c r="C165" s="6" t="s">
        <v>234</v>
      </c>
      <c r="D165" s="15" t="s">
        <v>235</v>
      </c>
      <c r="E165" s="13"/>
      <c r="F165" s="53"/>
      <c r="G165" s="2">
        <v>331148</v>
      </c>
      <c r="H165" s="53"/>
      <c r="I165" s="10">
        <v>29700</v>
      </c>
      <c r="J165" s="2">
        <v>29165</v>
      </c>
      <c r="K165" s="58">
        <f t="shared" si="24"/>
        <v>535</v>
      </c>
      <c r="L165" s="53"/>
      <c r="M165" s="10">
        <v>81504</v>
      </c>
      <c r="N165" s="2">
        <v>78874</v>
      </c>
      <c r="O165" s="58">
        <f t="shared" si="21"/>
        <v>2630</v>
      </c>
      <c r="P165" s="53"/>
      <c r="Q165" s="10">
        <v>29000</v>
      </c>
      <c r="R165" s="10">
        <v>27388</v>
      </c>
      <c r="S165" s="98">
        <f t="shared" si="22"/>
        <v>1612</v>
      </c>
      <c r="T165" s="53"/>
      <c r="U165" s="100"/>
      <c r="V165" s="53"/>
      <c r="W165" s="59">
        <f t="shared" si="23"/>
        <v>466575</v>
      </c>
      <c r="X165" s="53"/>
      <c r="Y165" s="8">
        <v>465120.74</v>
      </c>
      <c r="Z165" s="8">
        <f t="shared" si="25"/>
        <v>-1454.2600000000093</v>
      </c>
      <c r="AA165" s="2">
        <v>495200</v>
      </c>
      <c r="AD165" s="162"/>
    </row>
    <row r="166" spans="1:30" s="1" customFormat="1" ht="12" customHeight="1">
      <c r="A166" s="6" t="s">
        <v>229</v>
      </c>
      <c r="B166" s="6" t="s">
        <v>18</v>
      </c>
      <c r="C166" s="6" t="s">
        <v>236</v>
      </c>
      <c r="D166" s="15" t="s">
        <v>237</v>
      </c>
      <c r="E166" s="13"/>
      <c r="F166" s="53"/>
      <c r="G166" s="2">
        <v>184156</v>
      </c>
      <c r="H166" s="53"/>
      <c r="I166" s="10"/>
      <c r="J166" s="2"/>
      <c r="K166" s="58">
        <f t="shared" si="24"/>
        <v>0</v>
      </c>
      <c r="L166" s="53"/>
      <c r="M166" s="10">
        <v>46742</v>
      </c>
      <c r="N166" s="2">
        <v>46803</v>
      </c>
      <c r="O166" s="58">
        <f t="shared" si="21"/>
        <v>-61</v>
      </c>
      <c r="P166" s="53"/>
      <c r="Q166" s="10">
        <v>5000</v>
      </c>
      <c r="R166" s="10">
        <v>5000</v>
      </c>
      <c r="S166" s="98">
        <f t="shared" si="22"/>
        <v>0</v>
      </c>
      <c r="T166" s="53"/>
      <c r="U166" s="100"/>
      <c r="V166" s="53"/>
      <c r="W166" s="59">
        <f t="shared" si="23"/>
        <v>235959</v>
      </c>
      <c r="X166" s="53"/>
      <c r="Y166" s="8"/>
      <c r="Z166" s="8">
        <f t="shared" si="25"/>
        <v>-235959</v>
      </c>
      <c r="AA166" s="2">
        <v>56240</v>
      </c>
      <c r="AD166" s="162"/>
    </row>
    <row r="167" spans="1:30" s="1" customFormat="1" ht="12" customHeight="1">
      <c r="A167" s="6"/>
      <c r="B167" s="6"/>
      <c r="C167" s="6"/>
      <c r="D167" s="15" t="s">
        <v>238</v>
      </c>
      <c r="E167" s="13"/>
      <c r="F167" s="53"/>
      <c r="G167" s="2"/>
      <c r="H167" s="53"/>
      <c r="I167" s="10"/>
      <c r="J167" s="2"/>
      <c r="K167" s="58">
        <f t="shared" si="24"/>
        <v>0</v>
      </c>
      <c r="L167" s="53"/>
      <c r="M167" s="10"/>
      <c r="N167" s="2">
        <v>36</v>
      </c>
      <c r="O167" s="58">
        <f t="shared" si="21"/>
        <v>-36</v>
      </c>
      <c r="P167" s="53"/>
      <c r="Q167" s="10"/>
      <c r="R167" s="10"/>
      <c r="S167" s="98">
        <f t="shared" si="22"/>
        <v>0</v>
      </c>
      <c r="T167" s="53"/>
      <c r="U167" s="100"/>
      <c r="V167" s="53"/>
      <c r="W167" s="59">
        <f t="shared" si="23"/>
        <v>36</v>
      </c>
      <c r="X167" s="53"/>
      <c r="Y167" s="8"/>
      <c r="Z167" s="8">
        <f t="shared" si="25"/>
        <v>-36</v>
      </c>
      <c r="AA167" s="2"/>
      <c r="AD167" s="162"/>
    </row>
    <row r="168" spans="1:30" s="1" customFormat="1" ht="12" customHeight="1">
      <c r="A168" s="6" t="s">
        <v>229</v>
      </c>
      <c r="B168" s="6" t="s">
        <v>18</v>
      </c>
      <c r="C168" s="6" t="s">
        <v>239</v>
      </c>
      <c r="D168" s="15" t="s">
        <v>240</v>
      </c>
      <c r="E168" s="13"/>
      <c r="F168" s="53"/>
      <c r="G168" s="2">
        <v>398394</v>
      </c>
      <c r="H168" s="53"/>
      <c r="I168" s="10">
        <v>36740</v>
      </c>
      <c r="J168" s="2">
        <v>37347</v>
      </c>
      <c r="K168" s="58">
        <f t="shared" si="24"/>
        <v>-607</v>
      </c>
      <c r="L168" s="53"/>
      <c r="M168" s="10">
        <v>109344</v>
      </c>
      <c r="N168" s="2">
        <v>112708</v>
      </c>
      <c r="O168" s="58">
        <f t="shared" si="21"/>
        <v>-3364</v>
      </c>
      <c r="P168" s="53"/>
      <c r="Q168" s="10">
        <v>3452</v>
      </c>
      <c r="R168" s="10">
        <v>3210</v>
      </c>
      <c r="S168" s="98">
        <f t="shared" si="22"/>
        <v>242</v>
      </c>
      <c r="T168" s="53"/>
      <c r="U168" s="100"/>
      <c r="V168" s="53"/>
      <c r="W168" s="59">
        <f t="shared" si="23"/>
        <v>551659</v>
      </c>
      <c r="X168" s="53"/>
      <c r="Y168" s="8">
        <v>313252.12</v>
      </c>
      <c r="Z168" s="8">
        <f t="shared" si="25"/>
        <v>-238406.88</v>
      </c>
      <c r="AA168" s="2">
        <v>189624</v>
      </c>
      <c r="AD168" s="162"/>
    </row>
    <row r="169" spans="1:30" s="1" customFormat="1" ht="12" customHeight="1">
      <c r="A169" s="6" t="s">
        <v>229</v>
      </c>
      <c r="B169" s="6" t="s">
        <v>18</v>
      </c>
      <c r="C169" s="6" t="s">
        <v>241</v>
      </c>
      <c r="D169" s="15" t="s">
        <v>242</v>
      </c>
      <c r="E169" s="13"/>
      <c r="F169" s="53"/>
      <c r="G169" s="2">
        <v>356341</v>
      </c>
      <c r="H169" s="53"/>
      <c r="I169" s="10">
        <v>23350</v>
      </c>
      <c r="J169" s="2">
        <v>22883</v>
      </c>
      <c r="K169" s="58">
        <f t="shared" si="24"/>
        <v>467</v>
      </c>
      <c r="L169" s="53"/>
      <c r="M169" s="10">
        <v>96540</v>
      </c>
      <c r="N169" s="2">
        <v>98240</v>
      </c>
      <c r="O169" s="58">
        <f t="shared" si="21"/>
        <v>-1700</v>
      </c>
      <c r="P169" s="53"/>
      <c r="Q169" s="10">
        <v>10000</v>
      </c>
      <c r="R169" s="10">
        <v>9681</v>
      </c>
      <c r="S169" s="98">
        <f t="shared" si="22"/>
        <v>319</v>
      </c>
      <c r="T169" s="53"/>
      <c r="U169" s="100"/>
      <c r="V169" s="53"/>
      <c r="W169" s="59">
        <f t="shared" si="23"/>
        <v>487145</v>
      </c>
      <c r="X169" s="53"/>
      <c r="Y169" s="8">
        <v>242080.11</v>
      </c>
      <c r="Z169" s="8">
        <f t="shared" si="25"/>
        <v>-245064.89</v>
      </c>
      <c r="AA169" s="2">
        <v>50945</v>
      </c>
      <c r="AD169" s="162"/>
    </row>
    <row r="170" spans="1:30" s="1" customFormat="1" ht="12" customHeight="1">
      <c r="A170" s="6" t="s">
        <v>229</v>
      </c>
      <c r="B170" s="6" t="s">
        <v>18</v>
      </c>
      <c r="C170" s="6">
        <v>245</v>
      </c>
      <c r="D170" s="15" t="s">
        <v>243</v>
      </c>
      <c r="E170" s="16"/>
      <c r="F170" s="53"/>
      <c r="G170" s="2">
        <v>35243</v>
      </c>
      <c r="H170" s="53"/>
      <c r="I170" s="10"/>
      <c r="J170" s="2"/>
      <c r="K170" s="58">
        <f t="shared" si="24"/>
        <v>0</v>
      </c>
      <c r="L170" s="53"/>
      <c r="M170" s="10"/>
      <c r="N170" s="2"/>
      <c r="O170" s="58">
        <f t="shared" si="21"/>
        <v>0</v>
      </c>
      <c r="P170" s="53"/>
      <c r="Q170" s="10"/>
      <c r="R170" s="10"/>
      <c r="S170" s="98">
        <f t="shared" si="22"/>
        <v>0</v>
      </c>
      <c r="T170" s="53"/>
      <c r="U170" s="100"/>
      <c r="V170" s="53"/>
      <c r="W170" s="59">
        <f t="shared" si="23"/>
        <v>35243</v>
      </c>
      <c r="X170" s="53"/>
      <c r="Y170" s="8">
        <v>970.27</v>
      </c>
      <c r="Z170" s="8">
        <f t="shared" si="25"/>
        <v>-34272.730000000003</v>
      </c>
      <c r="AA170" s="2"/>
      <c r="AD170" s="162"/>
    </row>
    <row r="171" spans="1:30" s="1" customFormat="1" ht="12" customHeight="1">
      <c r="A171" s="6" t="s">
        <v>229</v>
      </c>
      <c r="B171" s="6" t="s">
        <v>18</v>
      </c>
      <c r="C171" s="6" t="s">
        <v>244</v>
      </c>
      <c r="D171" s="15" t="s">
        <v>245</v>
      </c>
      <c r="E171" s="13"/>
      <c r="F171" s="53"/>
      <c r="G171" s="2">
        <v>322794</v>
      </c>
      <c r="H171" s="53"/>
      <c r="I171" s="10">
        <v>6800</v>
      </c>
      <c r="J171" s="2">
        <f>6606</f>
        <v>6606</v>
      </c>
      <c r="K171" s="58">
        <f t="shared" si="24"/>
        <v>194</v>
      </c>
      <c r="L171" s="53"/>
      <c r="M171" s="10">
        <v>87462</v>
      </c>
      <c r="N171" s="2">
        <v>88850</v>
      </c>
      <c r="O171" s="58">
        <f t="shared" si="21"/>
        <v>-1388</v>
      </c>
      <c r="P171" s="53"/>
      <c r="Q171" s="10">
        <v>36000</v>
      </c>
      <c r="R171" s="10">
        <v>35878</v>
      </c>
      <c r="S171" s="98">
        <f t="shared" si="22"/>
        <v>122</v>
      </c>
      <c r="T171" s="53"/>
      <c r="U171" s="100">
        <v>214</v>
      </c>
      <c r="V171" s="53"/>
      <c r="W171" s="59">
        <f t="shared" si="23"/>
        <v>454342</v>
      </c>
      <c r="X171" s="53"/>
      <c r="Y171" s="8">
        <v>212752.89</v>
      </c>
      <c r="Z171" s="8">
        <f t="shared" si="25"/>
        <v>-241589.11</v>
      </c>
      <c r="AA171" s="2">
        <v>806379</v>
      </c>
      <c r="AD171" s="162"/>
    </row>
    <row r="172" spans="1:30" s="1" customFormat="1" ht="12" customHeight="1">
      <c r="A172" s="6" t="s">
        <v>229</v>
      </c>
      <c r="B172" s="6" t="s">
        <v>18</v>
      </c>
      <c r="C172" s="17" t="s">
        <v>246</v>
      </c>
      <c r="D172" s="15" t="s">
        <v>247</v>
      </c>
      <c r="E172" s="13"/>
      <c r="F172" s="53"/>
      <c r="G172" s="2"/>
      <c r="H172" s="53"/>
      <c r="I172" s="10"/>
      <c r="J172" s="2"/>
      <c r="K172" s="58">
        <f t="shared" si="24"/>
        <v>0</v>
      </c>
      <c r="L172" s="53"/>
      <c r="M172" s="10"/>
      <c r="N172" s="2"/>
      <c r="O172" s="58">
        <f t="shared" si="21"/>
        <v>0</v>
      </c>
      <c r="P172" s="53"/>
      <c r="Q172" s="10"/>
      <c r="R172" s="10"/>
      <c r="S172" s="98">
        <f t="shared" si="22"/>
        <v>0</v>
      </c>
      <c r="T172" s="53"/>
      <c r="U172" s="100"/>
      <c r="V172" s="53"/>
      <c r="W172" s="59">
        <f t="shared" si="23"/>
        <v>0</v>
      </c>
      <c r="X172" s="53"/>
      <c r="Y172" s="8"/>
      <c r="Z172" s="8"/>
      <c r="AA172" s="2">
        <v>1633</v>
      </c>
      <c r="AD172" s="162"/>
    </row>
    <row r="173" spans="1:30" s="1" customFormat="1" ht="12" customHeight="1">
      <c r="A173" s="6" t="s">
        <v>229</v>
      </c>
      <c r="B173" s="6" t="s">
        <v>18</v>
      </c>
      <c r="C173" s="6" t="s">
        <v>248</v>
      </c>
      <c r="D173" s="15" t="s">
        <v>249</v>
      </c>
      <c r="E173" s="13"/>
      <c r="F173" s="53"/>
      <c r="G173" s="2">
        <v>720671</v>
      </c>
      <c r="H173" s="53"/>
      <c r="I173" s="10">
        <v>27800</v>
      </c>
      <c r="J173" s="2">
        <v>29259</v>
      </c>
      <c r="K173" s="58">
        <f t="shared" si="24"/>
        <v>-1459</v>
      </c>
      <c r="L173" s="53"/>
      <c r="M173" s="10">
        <v>181755</v>
      </c>
      <c r="N173" s="2">
        <v>185734</v>
      </c>
      <c r="O173" s="58">
        <f t="shared" si="21"/>
        <v>-3979</v>
      </c>
      <c r="P173" s="53"/>
      <c r="Q173" s="10">
        <v>36560</v>
      </c>
      <c r="R173" s="10">
        <v>35839</v>
      </c>
      <c r="S173" s="98">
        <f t="shared" si="22"/>
        <v>721</v>
      </c>
      <c r="T173" s="53"/>
      <c r="U173" s="100"/>
      <c r="V173" s="53"/>
      <c r="W173" s="59">
        <f t="shared" si="23"/>
        <v>971503</v>
      </c>
      <c r="X173" s="53"/>
      <c r="Y173" s="8">
        <v>736456.24</v>
      </c>
      <c r="Z173" s="8">
        <f>SUM(Y173-W173)</f>
        <v>-235046.76</v>
      </c>
      <c r="AA173" s="2">
        <v>240028</v>
      </c>
      <c r="AD173" s="162"/>
    </row>
    <row r="174" spans="1:30" s="1" customFormat="1" ht="12" customHeight="1">
      <c r="A174" s="6" t="s">
        <v>229</v>
      </c>
      <c r="B174" s="6" t="s">
        <v>18</v>
      </c>
      <c r="C174" s="6" t="s">
        <v>250</v>
      </c>
      <c r="D174" s="15" t="s">
        <v>251</v>
      </c>
      <c r="E174" s="13"/>
      <c r="F174" s="53"/>
      <c r="G174" s="2">
        <v>351829</v>
      </c>
      <c r="H174" s="53"/>
      <c r="I174" s="10">
        <v>16000</v>
      </c>
      <c r="J174" s="2">
        <v>17460</v>
      </c>
      <c r="K174" s="58">
        <f t="shared" si="24"/>
        <v>-1460</v>
      </c>
      <c r="L174" s="53"/>
      <c r="M174" s="10">
        <v>92027</v>
      </c>
      <c r="N174" s="2">
        <v>100963</v>
      </c>
      <c r="O174" s="58">
        <f t="shared" si="21"/>
        <v>-8936</v>
      </c>
      <c r="P174" s="53"/>
      <c r="Q174" s="10">
        <v>46284</v>
      </c>
      <c r="R174" s="10">
        <v>46777</v>
      </c>
      <c r="S174" s="98">
        <f t="shared" si="22"/>
        <v>-493</v>
      </c>
      <c r="T174" s="53"/>
      <c r="U174" s="100"/>
      <c r="V174" s="53"/>
      <c r="W174" s="59">
        <f t="shared" si="23"/>
        <v>517029</v>
      </c>
      <c r="X174" s="53"/>
      <c r="Y174" s="8">
        <v>472710.79</v>
      </c>
      <c r="Z174" s="8">
        <f>SUM(Y174-W174)</f>
        <v>-44318.210000000021</v>
      </c>
      <c r="AA174" s="2">
        <v>106599</v>
      </c>
      <c r="AD174" s="162"/>
    </row>
    <row r="175" spans="1:30" s="1" customFormat="1" ht="12" customHeight="1">
      <c r="A175" s="6" t="s">
        <v>229</v>
      </c>
      <c r="B175" s="6" t="s">
        <v>18</v>
      </c>
      <c r="C175" s="6" t="s">
        <v>252</v>
      </c>
      <c r="D175" s="15" t="s">
        <v>253</v>
      </c>
      <c r="E175" s="13"/>
      <c r="F175" s="53"/>
      <c r="G175" s="2">
        <v>116858</v>
      </c>
      <c r="H175" s="53"/>
      <c r="I175" s="10">
        <v>5000</v>
      </c>
      <c r="J175" s="2">
        <v>5196</v>
      </c>
      <c r="K175" s="58">
        <f t="shared" si="24"/>
        <v>-196</v>
      </c>
      <c r="L175" s="53"/>
      <c r="M175" s="10">
        <v>34435</v>
      </c>
      <c r="N175" s="2">
        <v>31914</v>
      </c>
      <c r="O175" s="58">
        <f t="shared" si="21"/>
        <v>2521</v>
      </c>
      <c r="P175" s="53"/>
      <c r="Q175" s="10">
        <v>4292</v>
      </c>
      <c r="R175" s="10">
        <v>3895</v>
      </c>
      <c r="S175" s="98">
        <f t="shared" si="22"/>
        <v>397</v>
      </c>
      <c r="T175" s="53"/>
      <c r="U175" s="100"/>
      <c r="V175" s="53"/>
      <c r="W175" s="59">
        <f t="shared" si="23"/>
        <v>157863</v>
      </c>
      <c r="X175" s="53"/>
      <c r="Y175" s="8">
        <v>7965.07</v>
      </c>
      <c r="Z175" s="8">
        <f>SUM(Y175-W175)</f>
        <v>-149897.93</v>
      </c>
      <c r="AA175" s="2">
        <v>24638</v>
      </c>
      <c r="AD175" s="162"/>
    </row>
    <row r="176" spans="1:30" s="1" customFormat="1" ht="12" customHeight="1">
      <c r="A176" s="6" t="s">
        <v>229</v>
      </c>
      <c r="B176" s="6" t="s">
        <v>18</v>
      </c>
      <c r="C176" s="6" t="s">
        <v>254</v>
      </c>
      <c r="D176" s="15" t="s">
        <v>255</v>
      </c>
      <c r="E176" s="13"/>
      <c r="F176" s="53"/>
      <c r="G176" s="2"/>
      <c r="H176" s="53"/>
      <c r="I176" s="10"/>
      <c r="J176" s="2"/>
      <c r="K176" s="58">
        <f t="shared" si="24"/>
        <v>0</v>
      </c>
      <c r="L176" s="53"/>
      <c r="M176" s="10">
        <v>2800</v>
      </c>
      <c r="N176" s="2">
        <v>2792</v>
      </c>
      <c r="O176" s="58">
        <f t="shared" si="21"/>
        <v>8</v>
      </c>
      <c r="P176" s="53"/>
      <c r="Q176" s="10"/>
      <c r="R176" s="10"/>
      <c r="S176" s="98">
        <f t="shared" si="22"/>
        <v>0</v>
      </c>
      <c r="T176" s="53"/>
      <c r="U176" s="100"/>
      <c r="V176" s="53"/>
      <c r="W176" s="59">
        <f t="shared" si="23"/>
        <v>2792</v>
      </c>
      <c r="X176" s="53"/>
      <c r="Y176" s="8">
        <v>156438.39000000001</v>
      </c>
      <c r="Z176" s="8">
        <f>SUM(Y176-W176)</f>
        <v>153646.39000000001</v>
      </c>
      <c r="AA176" s="2">
        <v>257091</v>
      </c>
      <c r="AD176" s="162"/>
    </row>
    <row r="177" spans="1:30" s="1" customFormat="1" ht="6" customHeight="1">
      <c r="A177" s="38"/>
      <c r="B177" s="38"/>
      <c r="C177" s="38"/>
      <c r="D177" s="39"/>
      <c r="E177" s="40"/>
      <c r="F177" s="53"/>
      <c r="G177" s="41"/>
      <c r="H177" s="53"/>
      <c r="I177" s="42"/>
      <c r="J177" s="41"/>
      <c r="K177" s="43"/>
      <c r="L177" s="53"/>
      <c r="M177" s="42"/>
      <c r="N177" s="41"/>
      <c r="O177" s="113">
        <f t="shared" si="21"/>
        <v>0</v>
      </c>
      <c r="P177" s="53"/>
      <c r="Q177" s="42"/>
      <c r="R177" s="42"/>
      <c r="S177" s="118">
        <f t="shared" si="22"/>
        <v>0</v>
      </c>
      <c r="T177" s="53"/>
      <c r="U177" s="103"/>
      <c r="V177" s="53"/>
      <c r="W177" s="121">
        <f t="shared" si="23"/>
        <v>0</v>
      </c>
      <c r="X177" s="53"/>
      <c r="Y177" s="44"/>
      <c r="Z177" s="44"/>
      <c r="AA177" s="41"/>
      <c r="AD177" s="162"/>
    </row>
    <row r="178" spans="1:30" s="1" customFormat="1" ht="12" customHeight="1">
      <c r="A178" s="6" t="s">
        <v>229</v>
      </c>
      <c r="B178" s="6" t="s">
        <v>256</v>
      </c>
      <c r="C178" s="6" t="s">
        <v>58</v>
      </c>
      <c r="D178" s="18" t="s">
        <v>405</v>
      </c>
      <c r="E178" s="13"/>
      <c r="F178" s="53"/>
      <c r="G178" s="2">
        <v>206251</v>
      </c>
      <c r="H178" s="53"/>
      <c r="I178" s="10">
        <v>50780</v>
      </c>
      <c r="J178" s="2">
        <v>8130</v>
      </c>
      <c r="K178" s="58">
        <f>SUM(I178-J178)</f>
        <v>42650</v>
      </c>
      <c r="L178" s="53"/>
      <c r="M178" s="10">
        <v>155202</v>
      </c>
      <c r="N178" s="2">
        <v>42631</v>
      </c>
      <c r="O178" s="58">
        <f t="shared" si="21"/>
        <v>112571</v>
      </c>
      <c r="P178" s="53"/>
      <c r="Q178" s="10">
        <v>4000</v>
      </c>
      <c r="R178" s="10">
        <v>3333</v>
      </c>
      <c r="S178" s="98">
        <f t="shared" si="22"/>
        <v>667</v>
      </c>
      <c r="T178" s="53"/>
      <c r="U178" s="100"/>
      <c r="V178" s="53"/>
      <c r="W178" s="59">
        <f t="shared" si="23"/>
        <v>260345</v>
      </c>
      <c r="X178" s="53"/>
      <c r="Y178" s="8"/>
      <c r="Z178" s="8">
        <f>SUM(Y178-W178)</f>
        <v>-260345</v>
      </c>
      <c r="AA178" s="2"/>
      <c r="AD178" s="162"/>
    </row>
    <row r="179" spans="1:30" s="1" customFormat="1" ht="12" customHeight="1">
      <c r="A179" s="6" t="s">
        <v>229</v>
      </c>
      <c r="B179" s="6" t="s">
        <v>256</v>
      </c>
      <c r="C179" s="6" t="s">
        <v>257</v>
      </c>
      <c r="D179" s="15" t="s">
        <v>258</v>
      </c>
      <c r="E179" s="16"/>
      <c r="F179" s="53"/>
      <c r="G179" s="2">
        <v>139351</v>
      </c>
      <c r="H179" s="53"/>
      <c r="I179" s="10"/>
      <c r="J179" s="2">
        <v>22712</v>
      </c>
      <c r="K179" s="58">
        <f>SUM(I179-J179)</f>
        <v>-22712</v>
      </c>
      <c r="L179" s="53"/>
      <c r="M179" s="10"/>
      <c r="N179" s="2">
        <v>75023</v>
      </c>
      <c r="O179" s="58">
        <f t="shared" si="21"/>
        <v>-75023</v>
      </c>
      <c r="P179" s="53"/>
      <c r="Q179" s="10"/>
      <c r="R179" s="10"/>
      <c r="S179" s="98">
        <f t="shared" si="22"/>
        <v>0</v>
      </c>
      <c r="T179" s="53"/>
      <c r="U179" s="100"/>
      <c r="V179" s="53"/>
      <c r="W179" s="59">
        <f t="shared" si="23"/>
        <v>237086</v>
      </c>
      <c r="X179" s="53"/>
      <c r="Y179" s="8">
        <v>133577.04</v>
      </c>
      <c r="Z179" s="8">
        <f>SUM(Y179-W179)</f>
        <v>-103508.95999999999</v>
      </c>
      <c r="AA179" s="2">
        <v>54739</v>
      </c>
      <c r="AD179" s="162"/>
    </row>
    <row r="180" spans="1:30" s="1" customFormat="1" ht="12" customHeight="1">
      <c r="A180" s="6" t="s">
        <v>229</v>
      </c>
      <c r="B180" s="6" t="s">
        <v>256</v>
      </c>
      <c r="C180" s="6" t="s">
        <v>259</v>
      </c>
      <c r="D180" s="15" t="s">
        <v>260</v>
      </c>
      <c r="E180" s="16"/>
      <c r="F180" s="53"/>
      <c r="G180" s="2">
        <v>29494</v>
      </c>
      <c r="H180" s="53"/>
      <c r="I180" s="10">
        <v>10000</v>
      </c>
      <c r="J180" s="2">
        <v>8500</v>
      </c>
      <c r="K180" s="58">
        <f>SUM(I180-J180)</f>
        <v>1500</v>
      </c>
      <c r="L180" s="53"/>
      <c r="M180" s="10">
        <v>34915</v>
      </c>
      <c r="N180" s="2">
        <v>12020</v>
      </c>
      <c r="O180" s="58">
        <f t="shared" si="21"/>
        <v>22895</v>
      </c>
      <c r="P180" s="53"/>
      <c r="Q180" s="10"/>
      <c r="R180" s="10"/>
      <c r="S180" s="98">
        <f t="shared" si="22"/>
        <v>0</v>
      </c>
      <c r="T180" s="53"/>
      <c r="U180" s="100"/>
      <c r="V180" s="53"/>
      <c r="W180" s="59">
        <f t="shared" si="23"/>
        <v>50014</v>
      </c>
      <c r="X180" s="53"/>
      <c r="Y180" s="168">
        <v>4445.18</v>
      </c>
      <c r="Z180" s="8">
        <f>SUM(Y180-W180)</f>
        <v>-45568.82</v>
      </c>
      <c r="AA180" s="2">
        <v>31825</v>
      </c>
      <c r="AD180" s="162"/>
    </row>
    <row r="181" spans="1:30" s="1" customFormat="1" ht="12" customHeight="1">
      <c r="A181" s="6" t="s">
        <v>229</v>
      </c>
      <c r="B181" s="6" t="s">
        <v>256</v>
      </c>
      <c r="C181" s="6" t="s">
        <v>261</v>
      </c>
      <c r="D181" s="15" t="s">
        <v>262</v>
      </c>
      <c r="E181" s="16"/>
      <c r="F181" s="53"/>
      <c r="G181" s="2">
        <v>59066</v>
      </c>
      <c r="H181" s="53"/>
      <c r="I181" s="10"/>
      <c r="J181" s="2">
        <v>21260</v>
      </c>
      <c r="K181" s="58">
        <f>SUM(I181-J181)</f>
        <v>-21260</v>
      </c>
      <c r="L181" s="53"/>
      <c r="M181" s="10">
        <v>3200</v>
      </c>
      <c r="N181" s="2">
        <v>55541</v>
      </c>
      <c r="O181" s="58">
        <f t="shared" si="21"/>
        <v>-52341</v>
      </c>
      <c r="P181" s="53"/>
      <c r="Q181" s="10"/>
      <c r="R181" s="10"/>
      <c r="S181" s="98">
        <f t="shared" si="22"/>
        <v>0</v>
      </c>
      <c r="T181" s="53"/>
      <c r="U181" s="100"/>
      <c r="V181" s="53"/>
      <c r="W181" s="59">
        <f t="shared" si="23"/>
        <v>135867</v>
      </c>
      <c r="X181" s="53"/>
      <c r="Y181" s="8">
        <v>60312.41</v>
      </c>
      <c r="Z181" s="8">
        <f>SUM(Y181-W181)</f>
        <v>-75554.59</v>
      </c>
      <c r="AA181" s="2">
        <v>464725</v>
      </c>
      <c r="AD181" s="162"/>
    </row>
    <row r="182" spans="1:30" s="1" customFormat="1" ht="12" customHeight="1">
      <c r="A182" s="6" t="s">
        <v>229</v>
      </c>
      <c r="B182" s="6" t="s">
        <v>256</v>
      </c>
      <c r="C182" s="17" t="s">
        <v>263</v>
      </c>
      <c r="D182" s="15" t="s">
        <v>264</v>
      </c>
      <c r="E182" s="16"/>
      <c r="F182" s="53"/>
      <c r="G182" s="2"/>
      <c r="H182" s="53"/>
      <c r="I182" s="10"/>
      <c r="J182" s="2"/>
      <c r="K182" s="58">
        <f>SUM(I182-J182)</f>
        <v>0</v>
      </c>
      <c r="L182" s="53"/>
      <c r="M182" s="10"/>
      <c r="N182" s="2">
        <v>7966</v>
      </c>
      <c r="O182" s="58">
        <f t="shared" si="21"/>
        <v>-7966</v>
      </c>
      <c r="P182" s="53"/>
      <c r="Q182" s="10"/>
      <c r="R182" s="10"/>
      <c r="S182" s="98">
        <f t="shared" si="22"/>
        <v>0</v>
      </c>
      <c r="T182" s="53"/>
      <c r="U182" s="100"/>
      <c r="V182" s="53"/>
      <c r="W182" s="59">
        <f t="shared" si="23"/>
        <v>7966</v>
      </c>
      <c r="X182" s="53"/>
      <c r="Y182" s="8">
        <v>30064.78</v>
      </c>
      <c r="Z182" s="8">
        <f>SUM(Y182-W182)</f>
        <v>22098.78</v>
      </c>
      <c r="AA182" s="2">
        <v>241325</v>
      </c>
      <c r="AD182" s="162"/>
    </row>
    <row r="183" spans="1:30" s="32" customFormat="1" ht="12" customHeight="1">
      <c r="A183" s="19"/>
      <c r="B183" s="19"/>
      <c r="C183" s="19"/>
      <c r="D183" s="46" t="s">
        <v>406</v>
      </c>
      <c r="E183" s="21">
        <f>SUM(E178:E182)</f>
        <v>0</v>
      </c>
      <c r="F183" s="35"/>
      <c r="G183" s="5">
        <f>SUM(G178:G182)</f>
        <v>434162</v>
      </c>
      <c r="H183" s="35"/>
      <c r="I183" s="5">
        <f>SUM(I178:I182)</f>
        <v>60780</v>
      </c>
      <c r="J183" s="5">
        <f>SUM(J178:J182)</f>
        <v>60602</v>
      </c>
      <c r="K183" s="5">
        <f>SUM(K178:K182)</f>
        <v>178</v>
      </c>
      <c r="L183" s="35"/>
      <c r="M183" s="5">
        <f>SUM(M178:M182)</f>
        <v>193317</v>
      </c>
      <c r="N183" s="5">
        <f>SUM(N178:N182)</f>
        <v>193181</v>
      </c>
      <c r="O183" s="114">
        <f t="shared" si="21"/>
        <v>136</v>
      </c>
      <c r="P183" s="35"/>
      <c r="Q183" s="5">
        <f>SUM(Q178:Q182)</f>
        <v>4000</v>
      </c>
      <c r="R183" s="5">
        <f>SUM(R178:R182)</f>
        <v>3333</v>
      </c>
      <c r="S183" s="120">
        <f t="shared" si="22"/>
        <v>667</v>
      </c>
      <c r="T183" s="35"/>
      <c r="U183" s="5">
        <f>SUM(U178:U182)</f>
        <v>0</v>
      </c>
      <c r="V183" s="35"/>
      <c r="W183" s="122">
        <f t="shared" si="23"/>
        <v>691278</v>
      </c>
      <c r="X183" s="35"/>
      <c r="Y183" s="5">
        <f>SUM(Y178:Y182)</f>
        <v>228399.41</v>
      </c>
      <c r="Z183" s="5">
        <f>SUM(Z178:Z182)</f>
        <v>-462878.58999999997</v>
      </c>
      <c r="AA183" s="5">
        <f>SUM(AA178:AA182)</f>
        <v>792614</v>
      </c>
      <c r="AD183" s="164"/>
    </row>
    <row r="184" spans="1:30" s="1" customFormat="1" ht="6" customHeight="1">
      <c r="A184" s="38"/>
      <c r="B184" s="38"/>
      <c r="C184" s="38"/>
      <c r="D184" s="39"/>
      <c r="E184" s="40"/>
      <c r="F184" s="53"/>
      <c r="G184" s="41"/>
      <c r="H184" s="53"/>
      <c r="I184" s="42"/>
      <c r="J184" s="41"/>
      <c r="K184" s="43"/>
      <c r="L184" s="53"/>
      <c r="M184" s="42"/>
      <c r="N184" s="41"/>
      <c r="O184" s="113">
        <f t="shared" si="21"/>
        <v>0</v>
      </c>
      <c r="P184" s="53"/>
      <c r="Q184" s="42"/>
      <c r="R184" s="42"/>
      <c r="S184" s="118">
        <f t="shared" si="22"/>
        <v>0</v>
      </c>
      <c r="T184" s="53"/>
      <c r="U184" s="103"/>
      <c r="V184" s="53"/>
      <c r="W184" s="121">
        <f t="shared" si="23"/>
        <v>0</v>
      </c>
      <c r="X184" s="53"/>
      <c r="Y184" s="44"/>
      <c r="Z184" s="44"/>
      <c r="AA184" s="41"/>
      <c r="AD184" s="162"/>
    </row>
    <row r="185" spans="1:30" s="1" customFormat="1" ht="12" customHeight="1">
      <c r="A185" s="6" t="s">
        <v>229</v>
      </c>
      <c r="B185" s="6" t="s">
        <v>265</v>
      </c>
      <c r="C185" s="6" t="s">
        <v>58</v>
      </c>
      <c r="D185" s="18" t="s">
        <v>407</v>
      </c>
      <c r="E185" s="13"/>
      <c r="F185" s="53"/>
      <c r="G185" s="2">
        <v>344423</v>
      </c>
      <c r="H185" s="53"/>
      <c r="I185" s="10">
        <v>57650</v>
      </c>
      <c r="J185" s="2"/>
      <c r="K185" s="58">
        <f t="shared" ref="K185:K190" si="26">SUM(I185-J185)</f>
        <v>57650</v>
      </c>
      <c r="L185" s="53"/>
      <c r="M185" s="10">
        <v>337438</v>
      </c>
      <c r="N185" s="2">
        <v>6794</v>
      </c>
      <c r="O185" s="58">
        <f t="shared" si="21"/>
        <v>330644</v>
      </c>
      <c r="P185" s="53"/>
      <c r="Q185" s="10">
        <v>13000</v>
      </c>
      <c r="R185" s="10"/>
      <c r="S185" s="98">
        <f t="shared" si="22"/>
        <v>13000</v>
      </c>
      <c r="T185" s="53"/>
      <c r="U185" s="100"/>
      <c r="V185" s="53"/>
      <c r="W185" s="59">
        <f t="shared" si="23"/>
        <v>351217</v>
      </c>
      <c r="X185" s="53"/>
      <c r="Y185" s="8"/>
      <c r="Z185" s="8">
        <f t="shared" ref="Z185:Z190" si="27">SUM(Y185-W185)</f>
        <v>-351217</v>
      </c>
      <c r="AA185" s="2"/>
      <c r="AD185" s="162"/>
    </row>
    <row r="186" spans="1:30" s="1" customFormat="1" ht="12" customHeight="1">
      <c r="A186" s="6" t="s">
        <v>229</v>
      </c>
      <c r="B186" s="6" t="s">
        <v>265</v>
      </c>
      <c r="C186" s="17" t="s">
        <v>266</v>
      </c>
      <c r="D186" s="12" t="s">
        <v>267</v>
      </c>
      <c r="E186" s="13"/>
      <c r="F186" s="53"/>
      <c r="G186" s="2">
        <v>28581</v>
      </c>
      <c r="H186" s="53"/>
      <c r="I186" s="10"/>
      <c r="J186" s="2"/>
      <c r="K186" s="58">
        <f t="shared" si="26"/>
        <v>0</v>
      </c>
      <c r="L186" s="53"/>
      <c r="M186" s="10">
        <v>1000</v>
      </c>
      <c r="N186" s="2">
        <v>5129</v>
      </c>
      <c r="O186" s="58">
        <f t="shared" si="21"/>
        <v>-4129</v>
      </c>
      <c r="P186" s="53"/>
      <c r="Q186" s="10"/>
      <c r="R186" s="10"/>
      <c r="S186" s="98">
        <f t="shared" si="22"/>
        <v>0</v>
      </c>
      <c r="T186" s="53"/>
      <c r="U186" s="100"/>
      <c r="V186" s="53"/>
      <c r="W186" s="59">
        <f t="shared" si="23"/>
        <v>33710</v>
      </c>
      <c r="X186" s="53"/>
      <c r="Y186" s="8"/>
      <c r="Z186" s="8">
        <f t="shared" si="27"/>
        <v>-33710</v>
      </c>
      <c r="AA186" s="2">
        <v>177994</v>
      </c>
      <c r="AD186" s="162"/>
    </row>
    <row r="187" spans="1:30" s="1" customFormat="1" ht="12" customHeight="1">
      <c r="A187" s="6" t="s">
        <v>229</v>
      </c>
      <c r="B187" s="6" t="s">
        <v>265</v>
      </c>
      <c r="C187" s="6" t="s">
        <v>268</v>
      </c>
      <c r="D187" s="15" t="s">
        <v>269</v>
      </c>
      <c r="E187" s="16"/>
      <c r="F187" s="53"/>
      <c r="G187" s="2">
        <v>157794</v>
      </c>
      <c r="H187" s="53"/>
      <c r="I187" s="10"/>
      <c r="J187" s="2">
        <v>12958</v>
      </c>
      <c r="K187" s="58">
        <f t="shared" si="26"/>
        <v>-12958</v>
      </c>
      <c r="L187" s="53"/>
      <c r="M187" s="10">
        <v>2800</v>
      </c>
      <c r="N187" s="2">
        <v>76211</v>
      </c>
      <c r="O187" s="58">
        <f t="shared" si="21"/>
        <v>-73411</v>
      </c>
      <c r="P187" s="53"/>
      <c r="Q187" s="10"/>
      <c r="R187" s="10">
        <v>10500</v>
      </c>
      <c r="S187" s="98">
        <f t="shared" si="22"/>
        <v>-10500</v>
      </c>
      <c r="T187" s="53"/>
      <c r="U187" s="100"/>
      <c r="V187" s="53"/>
      <c r="W187" s="59">
        <f t="shared" si="23"/>
        <v>257463</v>
      </c>
      <c r="X187" s="53"/>
      <c r="Y187" s="8">
        <v>111085.11</v>
      </c>
      <c r="Z187" s="8">
        <f t="shared" si="27"/>
        <v>-146377.89000000001</v>
      </c>
      <c r="AA187" s="2">
        <v>145018</v>
      </c>
      <c r="AD187" s="162"/>
    </row>
    <row r="188" spans="1:30" s="1" customFormat="1" ht="12" customHeight="1">
      <c r="A188" s="6" t="s">
        <v>229</v>
      </c>
      <c r="B188" s="6" t="s">
        <v>265</v>
      </c>
      <c r="C188" s="6" t="s">
        <v>270</v>
      </c>
      <c r="D188" s="15" t="s">
        <v>271</v>
      </c>
      <c r="E188" s="13"/>
      <c r="F188" s="53"/>
      <c r="G188" s="2">
        <v>94135</v>
      </c>
      <c r="H188" s="53"/>
      <c r="I188" s="10"/>
      <c r="J188" s="2"/>
      <c r="K188" s="58">
        <f t="shared" si="26"/>
        <v>0</v>
      </c>
      <c r="L188" s="53"/>
      <c r="M188" s="10">
        <v>1000</v>
      </c>
      <c r="N188" s="2">
        <v>26716</v>
      </c>
      <c r="O188" s="58">
        <f t="shared" si="21"/>
        <v>-25716</v>
      </c>
      <c r="P188" s="53"/>
      <c r="Q188" s="10"/>
      <c r="R188" s="10"/>
      <c r="S188" s="98">
        <f t="shared" si="22"/>
        <v>0</v>
      </c>
      <c r="T188" s="53"/>
      <c r="U188" s="100"/>
      <c r="V188" s="53"/>
      <c r="W188" s="59">
        <f t="shared" si="23"/>
        <v>120851</v>
      </c>
      <c r="X188" s="53"/>
      <c r="Y188" s="8"/>
      <c r="Z188" s="8">
        <f t="shared" si="27"/>
        <v>-120851</v>
      </c>
      <c r="AA188" s="2">
        <v>172475</v>
      </c>
      <c r="AD188" s="162"/>
    </row>
    <row r="189" spans="1:30" s="1" customFormat="1" ht="12" customHeight="1">
      <c r="A189" s="6" t="s">
        <v>229</v>
      </c>
      <c r="B189" s="6" t="s">
        <v>265</v>
      </c>
      <c r="C189" s="6" t="s">
        <v>272</v>
      </c>
      <c r="D189" s="15" t="s">
        <v>273</v>
      </c>
      <c r="E189" s="16"/>
      <c r="F189" s="53"/>
      <c r="G189" s="2">
        <v>243635</v>
      </c>
      <c r="H189" s="53"/>
      <c r="I189" s="10"/>
      <c r="J189" s="2">
        <v>43160</v>
      </c>
      <c r="K189" s="58">
        <f t="shared" si="26"/>
        <v>-43160</v>
      </c>
      <c r="L189" s="53"/>
      <c r="M189" s="10">
        <v>2500</v>
      </c>
      <c r="N189" s="2">
        <v>202857</v>
      </c>
      <c r="O189" s="58">
        <f t="shared" si="21"/>
        <v>-200357</v>
      </c>
      <c r="P189" s="53"/>
      <c r="Q189" s="10">
        <v>72500</v>
      </c>
      <c r="R189" s="10">
        <v>74095</v>
      </c>
      <c r="S189" s="98">
        <f t="shared" si="22"/>
        <v>-1595</v>
      </c>
      <c r="T189" s="53"/>
      <c r="U189" s="100"/>
      <c r="V189" s="53"/>
      <c r="W189" s="59">
        <f t="shared" si="23"/>
        <v>563747</v>
      </c>
      <c r="X189" s="53"/>
      <c r="Y189" s="8">
        <v>905402.35</v>
      </c>
      <c r="Z189" s="8">
        <f t="shared" si="27"/>
        <v>341655.35</v>
      </c>
      <c r="AA189" s="2">
        <v>857921</v>
      </c>
      <c r="AD189" s="162"/>
    </row>
    <row r="190" spans="1:30" s="1" customFormat="1" ht="12" customHeight="1">
      <c r="A190" s="6" t="s">
        <v>229</v>
      </c>
      <c r="B190" s="6" t="s">
        <v>265</v>
      </c>
      <c r="C190" s="6">
        <v>259</v>
      </c>
      <c r="D190" s="15" t="s">
        <v>274</v>
      </c>
      <c r="E190" s="16"/>
      <c r="F190" s="53"/>
      <c r="G190" s="2">
        <v>32664</v>
      </c>
      <c r="H190" s="53"/>
      <c r="I190" s="10"/>
      <c r="J190" s="2">
        <v>827</v>
      </c>
      <c r="K190" s="58">
        <f t="shared" si="26"/>
        <v>-827</v>
      </c>
      <c r="L190" s="53"/>
      <c r="M190" s="10">
        <v>2800</v>
      </c>
      <c r="N190" s="2">
        <v>26586</v>
      </c>
      <c r="O190" s="58">
        <f t="shared" si="21"/>
        <v>-23786</v>
      </c>
      <c r="P190" s="53"/>
      <c r="Q190" s="10"/>
      <c r="R190" s="10"/>
      <c r="S190" s="98">
        <f t="shared" si="22"/>
        <v>0</v>
      </c>
      <c r="T190" s="53"/>
      <c r="U190" s="100"/>
      <c r="V190" s="53"/>
      <c r="W190" s="59">
        <f t="shared" si="23"/>
        <v>60077</v>
      </c>
      <c r="X190" s="53"/>
      <c r="Y190" s="8"/>
      <c r="Z190" s="8">
        <f t="shared" si="27"/>
        <v>-60077</v>
      </c>
      <c r="AA190" s="2"/>
      <c r="AD190" s="162"/>
    </row>
    <row r="191" spans="1:30" s="32" customFormat="1" ht="12" customHeight="1">
      <c r="A191" s="19"/>
      <c r="B191" s="19"/>
      <c r="C191" s="19"/>
      <c r="D191" s="46" t="s">
        <v>408</v>
      </c>
      <c r="E191" s="21">
        <f>SUM(E185:E190)</f>
        <v>0</v>
      </c>
      <c r="F191" s="35"/>
      <c r="G191" s="5">
        <f>SUM(G185:G190)</f>
        <v>901232</v>
      </c>
      <c r="H191" s="35"/>
      <c r="I191" s="5">
        <f>SUM(I185:I190)</f>
        <v>57650</v>
      </c>
      <c r="J191" s="5">
        <f>SUM(J185:J190)</f>
        <v>56945</v>
      </c>
      <c r="K191" s="5">
        <f>SUM(K185:K190)</f>
        <v>705</v>
      </c>
      <c r="L191" s="35"/>
      <c r="M191" s="5">
        <f>SUM(M185:M190)</f>
        <v>347538</v>
      </c>
      <c r="N191" s="5">
        <f>SUM(N185:N190)</f>
        <v>344293</v>
      </c>
      <c r="O191" s="114">
        <f t="shared" ref="O191:O254" si="28">SUM(M191-N191)</f>
        <v>3245</v>
      </c>
      <c r="P191" s="35"/>
      <c r="Q191" s="5">
        <f>SUM(Q185:Q190)</f>
        <v>85500</v>
      </c>
      <c r="R191" s="5">
        <f>SUM(R185:R190)</f>
        <v>84595</v>
      </c>
      <c r="S191" s="120">
        <f t="shared" ref="S191:S254" si="29">Q191-R191</f>
        <v>905</v>
      </c>
      <c r="T191" s="35"/>
      <c r="U191" s="5">
        <f>SUM(U185:U190)</f>
        <v>0</v>
      </c>
      <c r="V191" s="35"/>
      <c r="W191" s="122">
        <f t="shared" ref="W191:W254" si="30">SUM(G191+J191+U191+N191+R191)</f>
        <v>1387065</v>
      </c>
      <c r="X191" s="35"/>
      <c r="Y191" s="5">
        <f>SUM(Y185:Y190)</f>
        <v>1016487.46</v>
      </c>
      <c r="Z191" s="5">
        <f>SUM(Z185:Z190)</f>
        <v>-370577.54000000004</v>
      </c>
      <c r="AA191" s="5">
        <f>SUM(AA185:AA190)</f>
        <v>1353408</v>
      </c>
      <c r="AD191" s="164"/>
    </row>
    <row r="192" spans="1:30" s="1" customFormat="1" ht="6" customHeight="1">
      <c r="A192" s="38"/>
      <c r="B192" s="38"/>
      <c r="C192" s="38"/>
      <c r="D192" s="39"/>
      <c r="E192" s="40"/>
      <c r="F192" s="53"/>
      <c r="G192" s="41"/>
      <c r="H192" s="53"/>
      <c r="I192" s="42"/>
      <c r="J192" s="41"/>
      <c r="K192" s="43"/>
      <c r="L192" s="53"/>
      <c r="M192" s="42"/>
      <c r="N192" s="41"/>
      <c r="O192" s="113">
        <f t="shared" si="28"/>
        <v>0</v>
      </c>
      <c r="P192" s="53"/>
      <c r="Q192" s="42"/>
      <c r="R192" s="42"/>
      <c r="S192" s="118">
        <f t="shared" si="29"/>
        <v>0</v>
      </c>
      <c r="T192" s="53"/>
      <c r="U192" s="103"/>
      <c r="V192" s="53"/>
      <c r="W192" s="121">
        <f t="shared" si="30"/>
        <v>0</v>
      </c>
      <c r="X192" s="53"/>
      <c r="Y192" s="44"/>
      <c r="Z192" s="44"/>
      <c r="AA192" s="41"/>
      <c r="AD192" s="162"/>
    </row>
    <row r="193" spans="1:30" s="1" customFormat="1" ht="12" customHeight="1">
      <c r="A193" s="6" t="s">
        <v>229</v>
      </c>
      <c r="B193" s="6" t="s">
        <v>275</v>
      </c>
      <c r="C193" s="6" t="s">
        <v>58</v>
      </c>
      <c r="D193" s="18" t="s">
        <v>412</v>
      </c>
      <c r="E193" s="16"/>
      <c r="F193" s="53"/>
      <c r="G193" s="2">
        <v>354887</v>
      </c>
      <c r="H193" s="53"/>
      <c r="I193" s="2">
        <v>139979</v>
      </c>
      <c r="J193" s="2">
        <v>42368</v>
      </c>
      <c r="K193" s="58">
        <f>SUM(I193-J193)</f>
        <v>97611</v>
      </c>
      <c r="L193" s="53"/>
      <c r="M193" s="2">
        <v>269057</v>
      </c>
      <c r="N193" s="2">
        <v>5317</v>
      </c>
      <c r="O193" s="58">
        <f t="shared" si="28"/>
        <v>263740</v>
      </c>
      <c r="P193" s="53"/>
      <c r="Q193" s="10">
        <v>9816</v>
      </c>
      <c r="R193" s="10">
        <v>4599</v>
      </c>
      <c r="S193" s="98">
        <f t="shared" si="29"/>
        <v>5217</v>
      </c>
      <c r="T193" s="53"/>
      <c r="U193" s="100"/>
      <c r="V193" s="53"/>
      <c r="W193" s="59">
        <f t="shared" si="30"/>
        <v>407171</v>
      </c>
      <c r="X193" s="53"/>
      <c r="Y193" s="8"/>
      <c r="Z193" s="8">
        <f>SUM(Y193-W193)</f>
        <v>-407171</v>
      </c>
      <c r="AA193" s="2"/>
      <c r="AD193" s="162"/>
    </row>
    <row r="194" spans="1:30" s="1" customFormat="1" ht="12" customHeight="1">
      <c r="A194" s="6" t="s">
        <v>229</v>
      </c>
      <c r="B194" s="6" t="s">
        <v>275</v>
      </c>
      <c r="C194" s="17" t="s">
        <v>276</v>
      </c>
      <c r="D194" s="15" t="s">
        <v>277</v>
      </c>
      <c r="E194" s="13"/>
      <c r="F194" s="53"/>
      <c r="G194" s="2">
        <v>107245</v>
      </c>
      <c r="H194" s="53"/>
      <c r="I194" s="10">
        <v>10000</v>
      </c>
      <c r="J194" s="2">
        <v>17617</v>
      </c>
      <c r="K194" s="58">
        <f>SUM(I194-J194)</f>
        <v>-7617</v>
      </c>
      <c r="L194" s="53"/>
      <c r="M194" s="10">
        <v>69830</v>
      </c>
      <c r="N194" s="2">
        <v>51399</v>
      </c>
      <c r="O194" s="58">
        <f t="shared" si="28"/>
        <v>18431</v>
      </c>
      <c r="P194" s="53"/>
      <c r="Q194" s="10">
        <v>3000</v>
      </c>
      <c r="R194" s="10">
        <v>2420</v>
      </c>
      <c r="S194" s="98">
        <f t="shared" si="29"/>
        <v>580</v>
      </c>
      <c r="T194" s="53"/>
      <c r="U194" s="100"/>
      <c r="V194" s="53"/>
      <c r="W194" s="59">
        <f t="shared" si="30"/>
        <v>178681</v>
      </c>
      <c r="X194" s="53"/>
      <c r="Y194" s="8">
        <v>21740.55</v>
      </c>
      <c r="Z194" s="8">
        <f>SUM(Y194-W194)</f>
        <v>-156940.45000000001</v>
      </c>
      <c r="AA194" s="2">
        <v>24492</v>
      </c>
      <c r="AD194" s="162"/>
    </row>
    <row r="195" spans="1:30" s="1" customFormat="1" ht="12" customHeight="1">
      <c r="A195" s="6" t="s">
        <v>229</v>
      </c>
      <c r="B195" s="6">
        <v>15</v>
      </c>
      <c r="C195" s="6" t="s">
        <v>278</v>
      </c>
      <c r="D195" s="15" t="s">
        <v>279</v>
      </c>
      <c r="E195" s="13"/>
      <c r="F195" s="53"/>
      <c r="G195" s="2">
        <v>320626</v>
      </c>
      <c r="H195" s="53"/>
      <c r="I195" s="10"/>
      <c r="J195" s="2">
        <v>82005</v>
      </c>
      <c r="K195" s="58">
        <f>SUM(I195-J195)</f>
        <v>-82005</v>
      </c>
      <c r="L195" s="53"/>
      <c r="M195" s="10">
        <v>2800</v>
      </c>
      <c r="N195" s="2">
        <v>223259</v>
      </c>
      <c r="O195" s="58">
        <f t="shared" si="28"/>
        <v>-220459</v>
      </c>
      <c r="P195" s="53"/>
      <c r="Q195" s="10">
        <v>97088</v>
      </c>
      <c r="R195" s="10">
        <v>102277</v>
      </c>
      <c r="S195" s="98">
        <f t="shared" si="29"/>
        <v>-5189</v>
      </c>
      <c r="T195" s="53"/>
      <c r="U195" s="100">
        <v>116179</v>
      </c>
      <c r="V195" s="53"/>
      <c r="W195" s="59">
        <f t="shared" si="30"/>
        <v>844346</v>
      </c>
      <c r="X195" s="53"/>
      <c r="Y195" s="8">
        <v>541305.55000000005</v>
      </c>
      <c r="Z195" s="8">
        <f>SUM(Y195-W195)</f>
        <v>-303040.44999999995</v>
      </c>
      <c r="AA195" s="2">
        <v>154368</v>
      </c>
      <c r="AD195" s="162"/>
    </row>
    <row r="196" spans="1:30" s="1" customFormat="1" ht="12" customHeight="1">
      <c r="A196" s="6" t="s">
        <v>229</v>
      </c>
      <c r="B196" s="6" t="s">
        <v>275</v>
      </c>
      <c r="C196" s="6" t="s">
        <v>280</v>
      </c>
      <c r="D196" s="15" t="s">
        <v>281</v>
      </c>
      <c r="E196" s="16"/>
      <c r="F196" s="53"/>
      <c r="G196" s="2">
        <v>89394</v>
      </c>
      <c r="H196" s="53"/>
      <c r="I196" s="10"/>
      <c r="J196" s="2">
        <v>999</v>
      </c>
      <c r="K196" s="58">
        <f>SUM(I196-J196)</f>
        <v>-999</v>
      </c>
      <c r="L196" s="53"/>
      <c r="M196" s="10"/>
      <c r="N196" s="2">
        <v>41623</v>
      </c>
      <c r="O196" s="58">
        <f t="shared" si="28"/>
        <v>-41623</v>
      </c>
      <c r="P196" s="53"/>
      <c r="Q196" s="10">
        <v>7880</v>
      </c>
      <c r="R196" s="10">
        <v>8734</v>
      </c>
      <c r="S196" s="98">
        <f t="shared" si="29"/>
        <v>-854</v>
      </c>
      <c r="T196" s="53"/>
      <c r="U196" s="100"/>
      <c r="V196" s="53"/>
      <c r="W196" s="59">
        <f t="shared" si="30"/>
        <v>140750</v>
      </c>
      <c r="X196" s="53"/>
      <c r="Y196" s="8">
        <v>88645.49</v>
      </c>
      <c r="Z196" s="8">
        <f>SUM(Y196-W196)</f>
        <v>-52104.509999999995</v>
      </c>
      <c r="AA196" s="2">
        <v>21708</v>
      </c>
      <c r="AD196" s="162"/>
    </row>
    <row r="197" spans="1:30" s="1" customFormat="1" ht="12" customHeight="1">
      <c r="A197" s="6" t="s">
        <v>229</v>
      </c>
      <c r="B197" s="6" t="s">
        <v>275</v>
      </c>
      <c r="C197" s="6" t="s">
        <v>282</v>
      </c>
      <c r="D197" s="15" t="s">
        <v>283</v>
      </c>
      <c r="E197" s="13"/>
      <c r="F197" s="53"/>
      <c r="G197" s="2">
        <v>53538</v>
      </c>
      <c r="H197" s="53"/>
      <c r="I197" s="10"/>
      <c r="J197" s="2">
        <v>7937</v>
      </c>
      <c r="K197" s="58">
        <f>SUM(I197-J197)</f>
        <v>-7937</v>
      </c>
      <c r="L197" s="53"/>
      <c r="M197" s="10"/>
      <c r="N197" s="2">
        <v>23481</v>
      </c>
      <c r="O197" s="58">
        <f t="shared" si="28"/>
        <v>-23481</v>
      </c>
      <c r="P197" s="53"/>
      <c r="Q197" s="10">
        <v>8860</v>
      </c>
      <c r="R197" s="10">
        <v>7241</v>
      </c>
      <c r="S197" s="98">
        <f t="shared" si="29"/>
        <v>1619</v>
      </c>
      <c r="T197" s="53"/>
      <c r="U197" s="100"/>
      <c r="V197" s="53"/>
      <c r="W197" s="59">
        <f t="shared" si="30"/>
        <v>92197</v>
      </c>
      <c r="X197" s="53"/>
      <c r="Y197" s="8">
        <v>32262.71</v>
      </c>
      <c r="Z197" s="8">
        <f>SUM(Y197-W197)</f>
        <v>-59934.29</v>
      </c>
      <c r="AA197" s="2">
        <v>58870</v>
      </c>
      <c r="AD197" s="162"/>
    </row>
    <row r="198" spans="1:30" s="32" customFormat="1" ht="12" customHeight="1">
      <c r="A198" s="19"/>
      <c r="B198" s="19"/>
      <c r="C198" s="19"/>
      <c r="D198" s="46" t="s">
        <v>411</v>
      </c>
      <c r="E198" s="4">
        <f>SUM(E193:E197)</f>
        <v>0</v>
      </c>
      <c r="F198" s="35"/>
      <c r="G198" s="5">
        <f>SUM(G193:G197)</f>
        <v>925690</v>
      </c>
      <c r="H198" s="35"/>
      <c r="I198" s="5">
        <f>SUM(I193:I197)</f>
        <v>149979</v>
      </c>
      <c r="J198" s="5">
        <f>SUM(J193:J197)</f>
        <v>150926</v>
      </c>
      <c r="K198" s="5">
        <f>SUM(K193:K197)</f>
        <v>-947</v>
      </c>
      <c r="L198" s="35"/>
      <c r="M198" s="5">
        <f>SUM(M193:M197)</f>
        <v>341687</v>
      </c>
      <c r="N198" s="5">
        <f>SUM(N193:N197)</f>
        <v>345079</v>
      </c>
      <c r="O198" s="114">
        <f t="shared" si="28"/>
        <v>-3392</v>
      </c>
      <c r="P198" s="35"/>
      <c r="Q198" s="5">
        <f>SUM(Q193:Q197)</f>
        <v>126644</v>
      </c>
      <c r="R198" s="5">
        <f>SUM(R193:R197)</f>
        <v>125271</v>
      </c>
      <c r="S198" s="120">
        <f t="shared" si="29"/>
        <v>1373</v>
      </c>
      <c r="T198" s="35"/>
      <c r="U198" s="5">
        <f>SUM(U193:U197)</f>
        <v>116179</v>
      </c>
      <c r="V198" s="35"/>
      <c r="W198" s="122">
        <f t="shared" si="30"/>
        <v>1663145</v>
      </c>
      <c r="X198" s="35"/>
      <c r="Y198" s="5">
        <f>SUM(Y193:Y197)</f>
        <v>683954.3</v>
      </c>
      <c r="Z198" s="5">
        <f>SUM(Z193:Z197)</f>
        <v>-979190.7</v>
      </c>
      <c r="AA198" s="5">
        <f>SUM(AA193:AA197)</f>
        <v>259438</v>
      </c>
      <c r="AD198" s="164"/>
    </row>
    <row r="199" spans="1:30" s="1" customFormat="1" ht="6" customHeight="1">
      <c r="A199" s="38"/>
      <c r="B199" s="38"/>
      <c r="C199" s="38"/>
      <c r="D199" s="39"/>
      <c r="E199" s="40"/>
      <c r="F199" s="53"/>
      <c r="G199" s="41"/>
      <c r="H199" s="53"/>
      <c r="I199" s="42"/>
      <c r="J199" s="41"/>
      <c r="K199" s="43"/>
      <c r="L199" s="53"/>
      <c r="M199" s="42"/>
      <c r="N199" s="41"/>
      <c r="O199" s="113">
        <f t="shared" si="28"/>
        <v>0</v>
      </c>
      <c r="P199" s="53"/>
      <c r="Q199" s="42"/>
      <c r="R199" s="42"/>
      <c r="S199" s="118">
        <f t="shared" si="29"/>
        <v>0</v>
      </c>
      <c r="T199" s="53"/>
      <c r="U199" s="103"/>
      <c r="V199" s="53"/>
      <c r="W199" s="121">
        <f t="shared" si="30"/>
        <v>0</v>
      </c>
      <c r="X199" s="53"/>
      <c r="Y199" s="44"/>
      <c r="Z199" s="44"/>
      <c r="AA199" s="41"/>
      <c r="AD199" s="162"/>
    </row>
    <row r="200" spans="1:30" s="1" customFormat="1" ht="12" customHeight="1">
      <c r="A200" s="6" t="s">
        <v>229</v>
      </c>
      <c r="B200" s="6" t="s">
        <v>284</v>
      </c>
      <c r="C200" s="6" t="s">
        <v>58</v>
      </c>
      <c r="D200" s="18" t="s">
        <v>409</v>
      </c>
      <c r="E200" s="13"/>
      <c r="F200" s="53"/>
      <c r="G200" s="2">
        <v>80016</v>
      </c>
      <c r="H200" s="53"/>
      <c r="I200" s="10">
        <v>10000</v>
      </c>
      <c r="J200" s="2">
        <v>8990</v>
      </c>
      <c r="K200" s="58">
        <f>SUM(I200-J200)</f>
        <v>1010</v>
      </c>
      <c r="L200" s="53"/>
      <c r="M200" s="10">
        <v>71030</v>
      </c>
      <c r="N200" s="2">
        <v>1270</v>
      </c>
      <c r="O200" s="58">
        <f t="shared" si="28"/>
        <v>69760</v>
      </c>
      <c r="P200" s="53"/>
      <c r="Q200" s="10">
        <v>2700</v>
      </c>
      <c r="R200" s="10"/>
      <c r="S200" s="98">
        <f t="shared" si="29"/>
        <v>2700</v>
      </c>
      <c r="T200" s="53"/>
      <c r="U200" s="100">
        <v>1991</v>
      </c>
      <c r="V200" s="53"/>
      <c r="W200" s="59">
        <f t="shared" si="30"/>
        <v>92267</v>
      </c>
      <c r="X200" s="53"/>
      <c r="Y200" s="8"/>
      <c r="Z200" s="8">
        <f>SUM(Y200-W200)</f>
        <v>-92267</v>
      </c>
      <c r="AA200" s="2"/>
      <c r="AD200" s="162"/>
    </row>
    <row r="201" spans="1:30" s="1" customFormat="1" ht="12" customHeight="1">
      <c r="A201" s="6" t="s">
        <v>229</v>
      </c>
      <c r="B201" s="17" t="s">
        <v>284</v>
      </c>
      <c r="C201" s="6" t="s">
        <v>285</v>
      </c>
      <c r="D201" s="15" t="s">
        <v>286</v>
      </c>
      <c r="E201" s="13"/>
      <c r="F201" s="53"/>
      <c r="G201" s="2"/>
      <c r="H201" s="53"/>
      <c r="I201" s="10"/>
      <c r="J201" s="2"/>
      <c r="K201" s="58">
        <f>SUM(I201-J201)</f>
        <v>0</v>
      </c>
      <c r="L201" s="53"/>
      <c r="M201" s="10"/>
      <c r="N201" s="2"/>
      <c r="O201" s="58">
        <f t="shared" si="28"/>
        <v>0</v>
      </c>
      <c r="P201" s="53"/>
      <c r="Q201" s="10"/>
      <c r="R201" s="10"/>
      <c r="S201" s="98">
        <f t="shared" si="29"/>
        <v>0</v>
      </c>
      <c r="T201" s="53"/>
      <c r="U201" s="100"/>
      <c r="V201" s="53"/>
      <c r="W201" s="59">
        <f t="shared" si="30"/>
        <v>0</v>
      </c>
      <c r="X201" s="53"/>
      <c r="Y201" s="8"/>
      <c r="Z201" s="8"/>
      <c r="AA201" s="2">
        <v>2415</v>
      </c>
      <c r="AD201" s="162"/>
    </row>
    <row r="202" spans="1:30" s="1" customFormat="1" ht="12" customHeight="1">
      <c r="A202" s="6" t="s">
        <v>229</v>
      </c>
      <c r="B202" s="6" t="s">
        <v>284</v>
      </c>
      <c r="C202" s="6" t="s">
        <v>287</v>
      </c>
      <c r="D202" s="15" t="s">
        <v>288</v>
      </c>
      <c r="E202" s="16"/>
      <c r="F202" s="53"/>
      <c r="G202" s="2">
        <v>80401</v>
      </c>
      <c r="H202" s="53"/>
      <c r="I202" s="10"/>
      <c r="J202" s="2">
        <v>920</v>
      </c>
      <c r="K202" s="58">
        <f>SUM(I202-J202)</f>
        <v>-920</v>
      </c>
      <c r="L202" s="53"/>
      <c r="M202" s="10">
        <v>4495</v>
      </c>
      <c r="N202" s="2">
        <v>35011</v>
      </c>
      <c r="O202" s="58">
        <f t="shared" si="28"/>
        <v>-30516</v>
      </c>
      <c r="P202" s="53"/>
      <c r="Q202" s="10"/>
      <c r="R202" s="10"/>
      <c r="S202" s="98">
        <f t="shared" si="29"/>
        <v>0</v>
      </c>
      <c r="T202" s="53"/>
      <c r="U202" s="100"/>
      <c r="V202" s="53"/>
      <c r="W202" s="59">
        <f t="shared" si="30"/>
        <v>116332</v>
      </c>
      <c r="X202" s="53"/>
      <c r="Y202" s="8">
        <v>31134.06</v>
      </c>
      <c r="Z202" s="8">
        <f>SUM(Y202-W202)</f>
        <v>-85197.94</v>
      </c>
      <c r="AA202" s="2">
        <v>31201</v>
      </c>
      <c r="AD202" s="162"/>
    </row>
    <row r="203" spans="1:30" s="1" customFormat="1" ht="12" customHeight="1">
      <c r="A203" s="6" t="s">
        <v>229</v>
      </c>
      <c r="B203" s="6" t="s">
        <v>284</v>
      </c>
      <c r="C203" s="6" t="s">
        <v>289</v>
      </c>
      <c r="D203" s="15" t="s">
        <v>290</v>
      </c>
      <c r="E203" s="16"/>
      <c r="F203" s="53"/>
      <c r="G203" s="2">
        <v>88315</v>
      </c>
      <c r="H203" s="53"/>
      <c r="I203" s="10"/>
      <c r="J203" s="2"/>
      <c r="K203" s="58">
        <f>SUM(I203-J203)</f>
        <v>0</v>
      </c>
      <c r="L203" s="53"/>
      <c r="M203" s="10">
        <v>4000</v>
      </c>
      <c r="N203" s="2">
        <v>41941</v>
      </c>
      <c r="O203" s="58">
        <f t="shared" si="28"/>
        <v>-37941</v>
      </c>
      <c r="P203" s="53"/>
      <c r="Q203" s="10"/>
      <c r="R203" s="10">
        <v>2560</v>
      </c>
      <c r="S203" s="98">
        <f t="shared" si="29"/>
        <v>-2560</v>
      </c>
      <c r="T203" s="53"/>
      <c r="U203" s="100"/>
      <c r="V203" s="53"/>
      <c r="W203" s="59">
        <f t="shared" si="30"/>
        <v>132816</v>
      </c>
      <c r="X203" s="53"/>
      <c r="Y203" s="8">
        <v>122515.72</v>
      </c>
      <c r="Z203" s="8">
        <f>SUM(Y203-W203)</f>
        <v>-10300.279999999999</v>
      </c>
      <c r="AA203" s="2">
        <v>50333</v>
      </c>
      <c r="AD203" s="162"/>
    </row>
    <row r="204" spans="1:30" s="1" customFormat="1" ht="12" customHeight="1">
      <c r="A204" s="6" t="s">
        <v>229</v>
      </c>
      <c r="B204" s="6" t="s">
        <v>284</v>
      </c>
      <c r="C204" s="17" t="s">
        <v>291</v>
      </c>
      <c r="D204" s="15" t="s">
        <v>292</v>
      </c>
      <c r="E204" s="16"/>
      <c r="F204" s="53"/>
      <c r="G204" s="2"/>
      <c r="H204" s="53"/>
      <c r="I204" s="10"/>
      <c r="J204" s="2"/>
      <c r="K204" s="58">
        <f>SUM(I204-J204)</f>
        <v>0</v>
      </c>
      <c r="L204" s="53"/>
      <c r="M204" s="10"/>
      <c r="N204" s="2"/>
      <c r="O204" s="58">
        <f t="shared" si="28"/>
        <v>0</v>
      </c>
      <c r="P204" s="53"/>
      <c r="Q204" s="10"/>
      <c r="R204" s="10"/>
      <c r="S204" s="98">
        <f t="shared" si="29"/>
        <v>0</v>
      </c>
      <c r="T204" s="53"/>
      <c r="U204" s="100"/>
      <c r="V204" s="53"/>
      <c r="W204" s="59">
        <f t="shared" si="30"/>
        <v>0</v>
      </c>
      <c r="X204" s="53"/>
      <c r="Y204" s="8"/>
      <c r="Z204" s="8"/>
      <c r="AA204" s="2">
        <v>2974</v>
      </c>
      <c r="AD204" s="162"/>
    </row>
    <row r="205" spans="1:30" s="32" customFormat="1" ht="12" customHeight="1">
      <c r="A205" s="19"/>
      <c r="B205" s="19"/>
      <c r="C205" s="19"/>
      <c r="D205" s="46" t="s">
        <v>410</v>
      </c>
      <c r="E205" s="21">
        <f>SUM(E200:E204)</f>
        <v>0</v>
      </c>
      <c r="F205" s="35"/>
      <c r="G205" s="5">
        <f>SUM(G200:G204)</f>
        <v>248732</v>
      </c>
      <c r="H205" s="35"/>
      <c r="I205" s="5">
        <f>SUM(I200:I204)</f>
        <v>10000</v>
      </c>
      <c r="J205" s="5">
        <f>SUM(J200:J204)</f>
        <v>9910</v>
      </c>
      <c r="K205" s="5">
        <f>SUM(K200:K204)</f>
        <v>90</v>
      </c>
      <c r="L205" s="35"/>
      <c r="M205" s="5">
        <f>SUM(M200:M204)</f>
        <v>79525</v>
      </c>
      <c r="N205" s="5">
        <f>SUM(N200:N204)</f>
        <v>78222</v>
      </c>
      <c r="O205" s="114">
        <f t="shared" si="28"/>
        <v>1303</v>
      </c>
      <c r="P205" s="35"/>
      <c r="Q205" s="5">
        <f>SUM(Q200:Q204)</f>
        <v>2700</v>
      </c>
      <c r="R205" s="5">
        <f>SUM(R200:R204)</f>
        <v>2560</v>
      </c>
      <c r="S205" s="120">
        <f t="shared" si="29"/>
        <v>140</v>
      </c>
      <c r="T205" s="35"/>
      <c r="U205" s="5">
        <f>SUM(U200:U204)</f>
        <v>1991</v>
      </c>
      <c r="V205" s="35"/>
      <c r="W205" s="122">
        <f t="shared" si="30"/>
        <v>341415</v>
      </c>
      <c r="X205" s="35"/>
      <c r="Y205" s="5">
        <f>SUM(Y200:Y204)</f>
        <v>153649.78</v>
      </c>
      <c r="Z205" s="5">
        <f>SUM(Z200:Z204)</f>
        <v>-187765.22</v>
      </c>
      <c r="AA205" s="5">
        <f>SUM(AA200:AA204)</f>
        <v>86923</v>
      </c>
      <c r="AD205" s="164"/>
    </row>
    <row r="206" spans="1:30" s="1" customFormat="1" ht="12.75" hidden="1" customHeight="1">
      <c r="A206" s="6"/>
      <c r="B206" s="6"/>
      <c r="C206" s="6"/>
      <c r="D206" s="15"/>
      <c r="E206" s="13"/>
      <c r="F206" s="53"/>
      <c r="G206" s="2"/>
      <c r="H206" s="53"/>
      <c r="I206" s="2"/>
      <c r="J206" s="2"/>
      <c r="K206" s="9">
        <f>SUM(I206-J206)</f>
        <v>0</v>
      </c>
      <c r="L206" s="53"/>
      <c r="M206" s="2"/>
      <c r="N206" s="2"/>
      <c r="O206" s="58">
        <f t="shared" si="28"/>
        <v>0</v>
      </c>
      <c r="P206" s="53"/>
      <c r="Q206" s="2"/>
      <c r="R206" s="2"/>
      <c r="S206" s="98">
        <f t="shared" si="29"/>
        <v>0</v>
      </c>
      <c r="T206" s="53"/>
      <c r="U206" s="104"/>
      <c r="V206" s="53"/>
      <c r="W206" s="59">
        <f t="shared" si="30"/>
        <v>0</v>
      </c>
      <c r="X206" s="53"/>
      <c r="Y206" s="2"/>
      <c r="Z206" s="8"/>
      <c r="AA206" s="2"/>
      <c r="AD206" s="162"/>
    </row>
    <row r="207" spans="1:30" s="1" customFormat="1" ht="6" customHeight="1">
      <c r="A207" s="38"/>
      <c r="B207" s="38"/>
      <c r="C207" s="38"/>
      <c r="D207" s="39"/>
      <c r="E207" s="40"/>
      <c r="F207" s="53"/>
      <c r="G207" s="41"/>
      <c r="H207" s="53"/>
      <c r="I207" s="42"/>
      <c r="J207" s="41"/>
      <c r="K207" s="43"/>
      <c r="L207" s="53"/>
      <c r="M207" s="42"/>
      <c r="N207" s="41"/>
      <c r="O207" s="113">
        <f t="shared" si="28"/>
        <v>0</v>
      </c>
      <c r="P207" s="53"/>
      <c r="Q207" s="42"/>
      <c r="R207" s="42"/>
      <c r="S207" s="118">
        <f t="shared" si="29"/>
        <v>0</v>
      </c>
      <c r="T207" s="53"/>
      <c r="U207" s="103"/>
      <c r="V207" s="53"/>
      <c r="W207" s="121">
        <f t="shared" si="30"/>
        <v>0</v>
      </c>
      <c r="X207" s="53"/>
      <c r="Y207" s="44"/>
      <c r="Z207" s="44"/>
      <c r="AA207" s="41"/>
      <c r="AD207" s="162"/>
    </row>
    <row r="208" spans="1:30" s="32" customFormat="1" ht="13.35" customHeight="1">
      <c r="A208" s="19" t="s">
        <v>229</v>
      </c>
      <c r="B208" s="19" t="s">
        <v>18</v>
      </c>
      <c r="C208" s="19" t="s">
        <v>93</v>
      </c>
      <c r="D208" s="18" t="s">
        <v>293</v>
      </c>
      <c r="E208" s="4"/>
      <c r="F208" s="35"/>
      <c r="G208" s="5">
        <v>728230</v>
      </c>
      <c r="H208" s="35"/>
      <c r="I208" s="22">
        <v>109001</v>
      </c>
      <c r="J208" s="5">
        <v>106094</v>
      </c>
      <c r="K208" s="58">
        <f>SUM(I208-J208)</f>
        <v>2907</v>
      </c>
      <c r="L208" s="35"/>
      <c r="M208" s="22">
        <v>228573</v>
      </c>
      <c r="N208" s="5">
        <v>227378</v>
      </c>
      <c r="O208" s="114">
        <f t="shared" si="28"/>
        <v>1195</v>
      </c>
      <c r="P208" s="35"/>
      <c r="Q208" s="22"/>
      <c r="R208" s="22"/>
      <c r="S208" s="98">
        <f t="shared" si="29"/>
        <v>0</v>
      </c>
      <c r="T208" s="35"/>
      <c r="U208" s="105"/>
      <c r="V208" s="35"/>
      <c r="W208" s="59">
        <f t="shared" si="30"/>
        <v>1061702</v>
      </c>
      <c r="X208" s="35"/>
      <c r="Y208" s="14"/>
      <c r="Z208" s="14">
        <f>SUM(Y208-W208)</f>
        <v>-1061702</v>
      </c>
      <c r="AA208" s="5"/>
      <c r="AD208" s="164"/>
    </row>
    <row r="209" spans="1:30" s="32" customFormat="1" ht="12" hidden="1" customHeight="1">
      <c r="A209" s="19"/>
      <c r="B209" s="19"/>
      <c r="C209" s="19"/>
      <c r="D209" s="18"/>
      <c r="E209" s="4"/>
      <c r="F209" s="35"/>
      <c r="G209" s="5"/>
      <c r="H209" s="35"/>
      <c r="I209" s="22"/>
      <c r="J209" s="5"/>
      <c r="K209" s="58">
        <f>SUM(I209-J209)</f>
        <v>0</v>
      </c>
      <c r="L209" s="35"/>
      <c r="M209" s="22"/>
      <c r="N209" s="5"/>
      <c r="O209" s="58">
        <f t="shared" si="28"/>
        <v>0</v>
      </c>
      <c r="P209" s="35"/>
      <c r="Q209" s="22"/>
      <c r="R209" s="22"/>
      <c r="S209" s="98">
        <f t="shared" si="29"/>
        <v>0</v>
      </c>
      <c r="T209" s="35"/>
      <c r="U209" s="105"/>
      <c r="V209" s="35"/>
      <c r="W209" s="59">
        <f t="shared" si="30"/>
        <v>0</v>
      </c>
      <c r="X209" s="35"/>
      <c r="Y209" s="14"/>
      <c r="Z209" s="14"/>
      <c r="AA209" s="5"/>
      <c r="AB209" s="32">
        <f>4535302-AA210</f>
        <v>-268943</v>
      </c>
      <c r="AC209" s="32" t="s">
        <v>294</v>
      </c>
      <c r="AD209" s="164"/>
    </row>
    <row r="210" spans="1:30" s="32" customFormat="1" ht="18.75" customHeight="1">
      <c r="A210" s="19"/>
      <c r="B210" s="19"/>
      <c r="C210" s="19"/>
      <c r="D210" s="48" t="s">
        <v>295</v>
      </c>
      <c r="E210" s="4">
        <f>SUM(E163:E176, +E183, +E191, +E198, +E205, +E208)</f>
        <v>0</v>
      </c>
      <c r="F210" s="35"/>
      <c r="G210" s="83">
        <f t="shared" ref="G210:N210" si="31">SUM(G163:G176)+G183+G191+G198+G205+G208</f>
        <v>6377421</v>
      </c>
      <c r="H210" s="117">
        <f t="shared" si="31"/>
        <v>0</v>
      </c>
      <c r="I210" s="83">
        <f t="shared" si="31"/>
        <v>551500</v>
      </c>
      <c r="J210" s="83">
        <f t="shared" si="31"/>
        <v>554046</v>
      </c>
      <c r="K210" s="83">
        <f t="shared" si="31"/>
        <v>-2546</v>
      </c>
      <c r="L210" s="117">
        <f t="shared" si="31"/>
        <v>0</v>
      </c>
      <c r="M210" s="83">
        <f t="shared" si="31"/>
        <v>2046346</v>
      </c>
      <c r="N210" s="83">
        <f t="shared" si="31"/>
        <v>2060504</v>
      </c>
      <c r="O210" s="114">
        <f t="shared" si="28"/>
        <v>-14158</v>
      </c>
      <c r="P210" s="117">
        <f>SUM(P163:P176)+P183+P191+P198+P205+P208</f>
        <v>0</v>
      </c>
      <c r="Q210" s="83">
        <f>SUM(Q163:Q176)+Q183+Q191+Q198+Q205+Q208</f>
        <v>433152</v>
      </c>
      <c r="R210" s="83">
        <f>SUM(R163:R176)+R183+R191+R198+R205+R208</f>
        <v>417865</v>
      </c>
      <c r="S210" s="120">
        <f t="shared" si="29"/>
        <v>15287</v>
      </c>
      <c r="T210" s="117">
        <f>SUM(T163:T176)+T183+T191+T198+T205+T208</f>
        <v>0</v>
      </c>
      <c r="U210" s="83">
        <f>SUM(U163:U176)+U183+U191+U198+U205+U208</f>
        <v>119359</v>
      </c>
      <c r="V210" s="117">
        <f>SUM(V163:V176)+V183+V191+V198+V205+V208</f>
        <v>0</v>
      </c>
      <c r="W210" s="122">
        <f t="shared" si="30"/>
        <v>9529195</v>
      </c>
      <c r="X210" s="117">
        <f>SUM(X163:X176)+X183+X191+X198+X205+X208</f>
        <v>0</v>
      </c>
      <c r="Y210" s="83">
        <f>SUM(Y163:Y176)+Y183+Y191+Y198+Y205+Y208</f>
        <v>4952568.2700000005</v>
      </c>
      <c r="Z210" s="83">
        <f>SUM(Z163:Z176)+Z183+Z191+Z198+Z205+Z208</f>
        <v>-4576626.7300000004</v>
      </c>
      <c r="AA210" s="83">
        <f>SUM(AA163:AA176)+AA183+AA191+AA198+AA205+AA208</f>
        <v>4804245</v>
      </c>
      <c r="AD210" s="164"/>
    </row>
    <row r="211" spans="1:30" s="1" customFormat="1" ht="15" customHeight="1">
      <c r="A211" s="6"/>
      <c r="B211" s="6"/>
      <c r="C211" s="6"/>
      <c r="D211" s="50" t="s">
        <v>296</v>
      </c>
      <c r="E211" s="25"/>
      <c r="F211" s="53"/>
      <c r="G211" s="2"/>
      <c r="H211" s="53"/>
      <c r="I211" s="2"/>
      <c r="J211" s="2"/>
      <c r="K211" s="9"/>
      <c r="L211" s="53"/>
      <c r="M211" s="2"/>
      <c r="N211" s="2"/>
      <c r="O211" s="58">
        <f t="shared" si="28"/>
        <v>0</v>
      </c>
      <c r="P211" s="53"/>
      <c r="Q211" s="2"/>
      <c r="R211" s="2"/>
      <c r="S211" s="98">
        <f t="shared" si="29"/>
        <v>0</v>
      </c>
      <c r="T211" s="53"/>
      <c r="U211" s="104"/>
      <c r="V211" s="53"/>
      <c r="W211" s="59">
        <f t="shared" si="30"/>
        <v>0</v>
      </c>
      <c r="X211" s="53"/>
      <c r="Y211" s="8"/>
      <c r="Z211" s="8"/>
      <c r="AA211" s="2"/>
      <c r="AD211" s="162"/>
    </row>
    <row r="212" spans="1:30" s="1" customFormat="1" ht="12" customHeight="1">
      <c r="A212" s="6" t="s">
        <v>297</v>
      </c>
      <c r="B212" s="6" t="s">
        <v>18</v>
      </c>
      <c r="C212" s="6" t="s">
        <v>298</v>
      </c>
      <c r="D212" s="12" t="s">
        <v>299</v>
      </c>
      <c r="E212" s="13"/>
      <c r="F212" s="53"/>
      <c r="G212" s="2">
        <v>59439</v>
      </c>
      <c r="H212" s="53"/>
      <c r="I212" s="10">
        <v>11400</v>
      </c>
      <c r="J212" s="2">
        <v>11318</v>
      </c>
      <c r="K212" s="58">
        <f t="shared" ref="K212:K235" si="32">SUM(I212-J212)</f>
        <v>82</v>
      </c>
      <c r="L212" s="53"/>
      <c r="M212" s="10">
        <v>14552</v>
      </c>
      <c r="N212" s="2">
        <v>14552</v>
      </c>
      <c r="O212" s="58">
        <f t="shared" si="28"/>
        <v>0</v>
      </c>
      <c r="P212" s="53"/>
      <c r="Q212" s="10"/>
      <c r="R212" s="10"/>
      <c r="S212" s="98">
        <f t="shared" si="29"/>
        <v>0</v>
      </c>
      <c r="T212" s="53"/>
      <c r="U212" s="100"/>
      <c r="V212" s="53"/>
      <c r="W212" s="59">
        <f t="shared" si="30"/>
        <v>85309</v>
      </c>
      <c r="X212" s="53"/>
      <c r="Y212" s="8"/>
      <c r="Z212" s="8">
        <f t="shared" ref="Z212:Z221" si="33">SUM(Y212-W212)</f>
        <v>-85309</v>
      </c>
      <c r="AA212" s="2">
        <v>193686</v>
      </c>
      <c r="AD212" s="162"/>
    </row>
    <row r="213" spans="1:30" s="1" customFormat="1" ht="12" customHeight="1">
      <c r="A213" s="6">
        <v>50</v>
      </c>
      <c r="B213" s="6" t="s">
        <v>18</v>
      </c>
      <c r="C213" s="6" t="s">
        <v>300</v>
      </c>
      <c r="D213" s="15" t="s">
        <v>301</v>
      </c>
      <c r="E213" s="13"/>
      <c r="F213" s="53"/>
      <c r="G213" s="2">
        <v>21093</v>
      </c>
      <c r="H213" s="53"/>
      <c r="I213" s="10">
        <v>7000</v>
      </c>
      <c r="J213" s="2">
        <v>6603</v>
      </c>
      <c r="K213" s="58">
        <f t="shared" si="32"/>
        <v>397</v>
      </c>
      <c r="L213" s="53"/>
      <c r="M213" s="10">
        <v>21902</v>
      </c>
      <c r="N213" s="2">
        <v>21901</v>
      </c>
      <c r="O213" s="58">
        <f t="shared" si="28"/>
        <v>1</v>
      </c>
      <c r="P213" s="53"/>
      <c r="Q213" s="10"/>
      <c r="R213" s="10"/>
      <c r="S213" s="98">
        <f t="shared" si="29"/>
        <v>0</v>
      </c>
      <c r="T213" s="53"/>
      <c r="U213" s="100"/>
      <c r="V213" s="53"/>
      <c r="W213" s="59">
        <f t="shared" si="30"/>
        <v>49597</v>
      </c>
      <c r="X213" s="53"/>
      <c r="Y213" s="8">
        <v>1600</v>
      </c>
      <c r="Z213" s="8">
        <f t="shared" si="33"/>
        <v>-47997</v>
      </c>
      <c r="AA213" s="2"/>
      <c r="AD213" s="162"/>
    </row>
    <row r="214" spans="1:30" s="1" customFormat="1" ht="12" customHeight="1">
      <c r="A214" s="6" t="s">
        <v>297</v>
      </c>
      <c r="B214" s="6" t="s">
        <v>18</v>
      </c>
      <c r="C214" s="6" t="s">
        <v>302</v>
      </c>
      <c r="D214" s="15" t="s">
        <v>303</v>
      </c>
      <c r="E214" s="16"/>
      <c r="F214" s="53"/>
      <c r="G214" s="2">
        <v>568823</v>
      </c>
      <c r="H214" s="53"/>
      <c r="I214" s="10">
        <v>19200</v>
      </c>
      <c r="J214" s="2">
        <v>19175</v>
      </c>
      <c r="K214" s="58">
        <f t="shared" si="32"/>
        <v>25</v>
      </c>
      <c r="L214" s="53"/>
      <c r="M214" s="10">
        <v>236000</v>
      </c>
      <c r="N214" s="2">
        <v>243664</v>
      </c>
      <c r="O214" s="58">
        <f t="shared" si="28"/>
        <v>-7664</v>
      </c>
      <c r="P214" s="53"/>
      <c r="Q214" s="10">
        <v>56006</v>
      </c>
      <c r="R214" s="10">
        <v>35874</v>
      </c>
      <c r="S214" s="98">
        <f t="shared" si="29"/>
        <v>20132</v>
      </c>
      <c r="T214" s="53"/>
      <c r="U214" s="100"/>
      <c r="V214" s="53"/>
      <c r="W214" s="59">
        <f t="shared" si="30"/>
        <v>867536</v>
      </c>
      <c r="X214" s="53"/>
      <c r="Y214" s="8">
        <v>1584291.17</v>
      </c>
      <c r="Z214" s="8">
        <f t="shared" si="33"/>
        <v>716755.16999999993</v>
      </c>
      <c r="AA214" s="2">
        <v>472697</v>
      </c>
      <c r="AD214" s="162"/>
    </row>
    <row r="215" spans="1:30" s="1" customFormat="1" ht="12" customHeight="1">
      <c r="A215" s="6" t="s">
        <v>297</v>
      </c>
      <c r="B215" s="6" t="s">
        <v>18</v>
      </c>
      <c r="C215" s="6" t="s">
        <v>304</v>
      </c>
      <c r="D215" s="15" t="s">
        <v>305</v>
      </c>
      <c r="E215" s="16"/>
      <c r="F215" s="53"/>
      <c r="G215" s="2">
        <v>542827</v>
      </c>
      <c r="H215" s="53"/>
      <c r="I215" s="10">
        <v>71900</v>
      </c>
      <c r="J215" s="2">
        <v>71894</v>
      </c>
      <c r="K215" s="58">
        <f t="shared" si="32"/>
        <v>6</v>
      </c>
      <c r="L215" s="53"/>
      <c r="M215" s="10">
        <v>162800</v>
      </c>
      <c r="N215" s="2">
        <v>165347</v>
      </c>
      <c r="O215" s="58">
        <f t="shared" si="28"/>
        <v>-2547</v>
      </c>
      <c r="P215" s="53"/>
      <c r="Q215" s="10">
        <v>136856</v>
      </c>
      <c r="R215" s="10">
        <v>127928</v>
      </c>
      <c r="S215" s="98">
        <f t="shared" si="29"/>
        <v>8928</v>
      </c>
      <c r="T215" s="53"/>
      <c r="U215" s="100"/>
      <c r="V215" s="53"/>
      <c r="W215" s="59">
        <f t="shared" si="30"/>
        <v>907996</v>
      </c>
      <c r="X215" s="53"/>
      <c r="Y215" s="8">
        <v>977389.23</v>
      </c>
      <c r="Z215" s="8">
        <f t="shared" si="33"/>
        <v>69393.229999999981</v>
      </c>
      <c r="AA215" s="2">
        <v>811236</v>
      </c>
      <c r="AD215" s="162"/>
    </row>
    <row r="216" spans="1:30" s="1" customFormat="1" ht="12" customHeight="1">
      <c r="A216" s="6" t="s">
        <v>297</v>
      </c>
      <c r="B216" s="6" t="s">
        <v>18</v>
      </c>
      <c r="C216" s="6" t="s">
        <v>306</v>
      </c>
      <c r="D216" s="12" t="s">
        <v>307</v>
      </c>
      <c r="E216" s="13"/>
      <c r="F216" s="53"/>
      <c r="G216" s="2">
        <v>80211</v>
      </c>
      <c r="H216" s="53"/>
      <c r="I216" s="10">
        <v>7718</v>
      </c>
      <c r="J216" s="2">
        <v>6972</v>
      </c>
      <c r="K216" s="58">
        <f t="shared" si="32"/>
        <v>746</v>
      </c>
      <c r="L216" s="53"/>
      <c r="M216" s="10">
        <v>21775</v>
      </c>
      <c r="N216" s="2">
        <v>21774</v>
      </c>
      <c r="O216" s="58">
        <f t="shared" si="28"/>
        <v>1</v>
      </c>
      <c r="P216" s="53"/>
      <c r="Q216" s="10"/>
      <c r="R216" s="10"/>
      <c r="S216" s="98">
        <f t="shared" si="29"/>
        <v>0</v>
      </c>
      <c r="T216" s="53"/>
      <c r="U216" s="100"/>
      <c r="V216" s="53"/>
      <c r="W216" s="59">
        <f t="shared" si="30"/>
        <v>108957</v>
      </c>
      <c r="X216" s="53"/>
      <c r="Y216" s="8">
        <v>10059</v>
      </c>
      <c r="Z216" s="8">
        <f t="shared" si="33"/>
        <v>-98898</v>
      </c>
      <c r="AA216" s="2">
        <v>140456</v>
      </c>
      <c r="AD216" s="162"/>
    </row>
    <row r="217" spans="1:30" s="1" customFormat="1" ht="12" customHeight="1">
      <c r="A217" s="6" t="s">
        <v>297</v>
      </c>
      <c r="B217" s="6" t="s">
        <v>18</v>
      </c>
      <c r="C217" s="6" t="s">
        <v>308</v>
      </c>
      <c r="D217" s="15" t="s">
        <v>309</v>
      </c>
      <c r="E217" s="13"/>
      <c r="F217" s="53"/>
      <c r="G217" s="2">
        <v>57650</v>
      </c>
      <c r="H217" s="53"/>
      <c r="I217" s="10">
        <v>51000</v>
      </c>
      <c r="J217" s="2">
        <v>50919</v>
      </c>
      <c r="K217" s="58">
        <f t="shared" si="32"/>
        <v>81</v>
      </c>
      <c r="L217" s="53"/>
      <c r="M217" s="10">
        <v>26964</v>
      </c>
      <c r="N217" s="2">
        <v>26964</v>
      </c>
      <c r="O217" s="58">
        <f t="shared" si="28"/>
        <v>0</v>
      </c>
      <c r="P217" s="53"/>
      <c r="Q217" s="10"/>
      <c r="R217" s="10"/>
      <c r="S217" s="98">
        <f t="shared" si="29"/>
        <v>0</v>
      </c>
      <c r="T217" s="53"/>
      <c r="U217" s="100"/>
      <c r="V217" s="53"/>
      <c r="W217" s="59">
        <f t="shared" si="30"/>
        <v>135533</v>
      </c>
      <c r="X217" s="53"/>
      <c r="Y217" s="8">
        <v>150</v>
      </c>
      <c r="Z217" s="8">
        <f t="shared" si="33"/>
        <v>-135383</v>
      </c>
      <c r="AA217" s="2"/>
      <c r="AD217" s="162"/>
    </row>
    <row r="218" spans="1:30" s="1" customFormat="1" ht="12" customHeight="1">
      <c r="A218" s="6" t="s">
        <v>297</v>
      </c>
      <c r="B218" s="6" t="s">
        <v>18</v>
      </c>
      <c r="C218" s="6" t="s">
        <v>310</v>
      </c>
      <c r="D218" s="15" t="s">
        <v>311</v>
      </c>
      <c r="E218" s="16"/>
      <c r="F218" s="53"/>
      <c r="G218" s="2">
        <v>338337</v>
      </c>
      <c r="H218" s="53"/>
      <c r="I218" s="10">
        <v>23100</v>
      </c>
      <c r="J218" s="2">
        <v>23092</v>
      </c>
      <c r="K218" s="58">
        <f t="shared" si="32"/>
        <v>8</v>
      </c>
      <c r="L218" s="53"/>
      <c r="M218" s="10">
        <v>88000</v>
      </c>
      <c r="N218" s="2">
        <v>88435</v>
      </c>
      <c r="O218" s="58">
        <f t="shared" si="28"/>
        <v>-435</v>
      </c>
      <c r="P218" s="53"/>
      <c r="Q218" s="10">
        <v>19000</v>
      </c>
      <c r="R218" s="10">
        <v>7853</v>
      </c>
      <c r="S218" s="98">
        <f t="shared" si="29"/>
        <v>11147</v>
      </c>
      <c r="T218" s="53"/>
      <c r="U218" s="100"/>
      <c r="V218" s="53"/>
      <c r="W218" s="59">
        <f t="shared" si="30"/>
        <v>457717</v>
      </c>
      <c r="X218" s="53"/>
      <c r="Y218" s="8">
        <v>205388.33</v>
      </c>
      <c r="Z218" s="8">
        <f t="shared" si="33"/>
        <v>-252328.67</v>
      </c>
      <c r="AA218" s="2">
        <v>183215</v>
      </c>
      <c r="AD218" s="162"/>
    </row>
    <row r="219" spans="1:30" s="1" customFormat="1" ht="12" customHeight="1">
      <c r="A219" s="6" t="s">
        <v>297</v>
      </c>
      <c r="B219" s="6" t="s">
        <v>18</v>
      </c>
      <c r="C219" s="6" t="s">
        <v>312</v>
      </c>
      <c r="D219" s="15" t="s">
        <v>313</v>
      </c>
      <c r="E219" s="16"/>
      <c r="F219" s="53"/>
      <c r="G219" s="2">
        <v>308940</v>
      </c>
      <c r="H219" s="53"/>
      <c r="I219" s="10">
        <v>64500</v>
      </c>
      <c r="J219" s="2">
        <v>64308</v>
      </c>
      <c r="K219" s="58">
        <f t="shared" si="32"/>
        <v>192</v>
      </c>
      <c r="L219" s="53"/>
      <c r="M219" s="10">
        <v>106330</v>
      </c>
      <c r="N219" s="2">
        <v>106329</v>
      </c>
      <c r="O219" s="58">
        <f t="shared" si="28"/>
        <v>1</v>
      </c>
      <c r="P219" s="53"/>
      <c r="Q219" s="10">
        <v>7500</v>
      </c>
      <c r="R219" s="10">
        <v>5750</v>
      </c>
      <c r="S219" s="98">
        <f t="shared" si="29"/>
        <v>1750</v>
      </c>
      <c r="T219" s="53"/>
      <c r="U219" s="100">
        <v>72312</v>
      </c>
      <c r="V219" s="53"/>
      <c r="W219" s="59">
        <f t="shared" si="30"/>
        <v>557639</v>
      </c>
      <c r="X219" s="53"/>
      <c r="Y219" s="8">
        <v>789538.22</v>
      </c>
      <c r="Z219" s="8">
        <f t="shared" si="33"/>
        <v>231899.21999999997</v>
      </c>
      <c r="AA219" s="2">
        <v>319821</v>
      </c>
      <c r="AD219" s="162"/>
    </row>
    <row r="220" spans="1:30" s="1" customFormat="1" ht="12" customHeight="1">
      <c r="A220" s="6" t="s">
        <v>297</v>
      </c>
      <c r="B220" s="6" t="s">
        <v>18</v>
      </c>
      <c r="C220" s="6" t="s">
        <v>314</v>
      </c>
      <c r="D220" s="15" t="s">
        <v>315</v>
      </c>
      <c r="E220" s="16"/>
      <c r="F220" s="53"/>
      <c r="G220" s="2">
        <v>327838</v>
      </c>
      <c r="H220" s="53"/>
      <c r="I220" s="10">
        <v>34500</v>
      </c>
      <c r="J220" s="2">
        <v>34433</v>
      </c>
      <c r="K220" s="58">
        <f t="shared" si="32"/>
        <v>67</v>
      </c>
      <c r="L220" s="53"/>
      <c r="M220" s="10">
        <v>87400</v>
      </c>
      <c r="N220" s="2">
        <v>87395</v>
      </c>
      <c r="O220" s="58">
        <f t="shared" si="28"/>
        <v>5</v>
      </c>
      <c r="P220" s="53"/>
      <c r="Q220" s="10">
        <v>56000</v>
      </c>
      <c r="R220" s="10">
        <v>48329</v>
      </c>
      <c r="S220" s="98">
        <f t="shared" si="29"/>
        <v>7671</v>
      </c>
      <c r="T220" s="53"/>
      <c r="U220" s="100"/>
      <c r="V220" s="53"/>
      <c r="W220" s="59">
        <f t="shared" si="30"/>
        <v>497995</v>
      </c>
      <c r="X220" s="53"/>
      <c r="Y220" s="8">
        <v>184131.12</v>
      </c>
      <c r="Z220" s="8">
        <f t="shared" si="33"/>
        <v>-313863.88</v>
      </c>
      <c r="AA220" s="2">
        <v>216254</v>
      </c>
      <c r="AD220" s="162"/>
    </row>
    <row r="221" spans="1:30" s="1" customFormat="1" ht="12" customHeight="1">
      <c r="A221" s="6" t="s">
        <v>297</v>
      </c>
      <c r="B221" s="6" t="s">
        <v>18</v>
      </c>
      <c r="C221" s="6" t="s">
        <v>316</v>
      </c>
      <c r="D221" s="15" t="s">
        <v>317</v>
      </c>
      <c r="E221" s="16"/>
      <c r="F221" s="53"/>
      <c r="G221" s="2"/>
      <c r="H221" s="53"/>
      <c r="I221" s="10"/>
      <c r="J221" s="2"/>
      <c r="K221" s="58">
        <f t="shared" si="32"/>
        <v>0</v>
      </c>
      <c r="L221" s="53"/>
      <c r="M221" s="10"/>
      <c r="N221" s="2"/>
      <c r="O221" s="58">
        <f t="shared" si="28"/>
        <v>0</v>
      </c>
      <c r="P221" s="53"/>
      <c r="Q221" s="10"/>
      <c r="R221" s="10"/>
      <c r="S221" s="98">
        <f t="shared" si="29"/>
        <v>0</v>
      </c>
      <c r="T221" s="53"/>
      <c r="U221" s="100"/>
      <c r="V221" s="53"/>
      <c r="W221" s="59">
        <f t="shared" si="30"/>
        <v>0</v>
      </c>
      <c r="X221" s="53"/>
      <c r="Y221" s="8"/>
      <c r="Z221" s="8">
        <f t="shared" si="33"/>
        <v>0</v>
      </c>
      <c r="AA221" s="2">
        <v>6006</v>
      </c>
      <c r="AD221" s="162"/>
    </row>
    <row r="222" spans="1:30" s="1" customFormat="1" ht="12" customHeight="1">
      <c r="A222" s="6"/>
      <c r="B222" s="6"/>
      <c r="C222" s="6"/>
      <c r="D222" s="15" t="s">
        <v>318</v>
      </c>
      <c r="E222" s="16"/>
      <c r="F222" s="53"/>
      <c r="G222" s="2"/>
      <c r="H222" s="53"/>
      <c r="I222" s="10"/>
      <c r="J222" s="2"/>
      <c r="K222" s="58">
        <f t="shared" si="32"/>
        <v>0</v>
      </c>
      <c r="L222" s="53"/>
      <c r="M222" s="10"/>
      <c r="N222" s="2"/>
      <c r="O222" s="58">
        <f t="shared" si="28"/>
        <v>0</v>
      </c>
      <c r="P222" s="53"/>
      <c r="Q222" s="10"/>
      <c r="R222" s="10"/>
      <c r="S222" s="98">
        <f t="shared" si="29"/>
        <v>0</v>
      </c>
      <c r="T222" s="53"/>
      <c r="U222" s="100"/>
      <c r="V222" s="53"/>
      <c r="W222" s="59">
        <f t="shared" si="30"/>
        <v>0</v>
      </c>
      <c r="X222" s="53"/>
      <c r="Y222" s="8"/>
      <c r="Z222" s="8"/>
      <c r="AA222" s="2">
        <v>51572</v>
      </c>
      <c r="AD222" s="162"/>
    </row>
    <row r="223" spans="1:30" s="1" customFormat="1" ht="12" customHeight="1">
      <c r="A223" s="6" t="s">
        <v>297</v>
      </c>
      <c r="B223" s="6" t="s">
        <v>18</v>
      </c>
      <c r="C223" s="6" t="s">
        <v>319</v>
      </c>
      <c r="D223" s="15" t="s">
        <v>320</v>
      </c>
      <c r="E223" s="16"/>
      <c r="F223" s="53"/>
      <c r="G223" s="2">
        <v>467606</v>
      </c>
      <c r="H223" s="53"/>
      <c r="I223" s="10">
        <v>47000</v>
      </c>
      <c r="J223" s="2">
        <f>46792</f>
        <v>46792</v>
      </c>
      <c r="K223" s="58">
        <f t="shared" si="32"/>
        <v>208</v>
      </c>
      <c r="L223" s="53"/>
      <c r="M223" s="10">
        <v>149791</v>
      </c>
      <c r="N223" s="2">
        <v>149791</v>
      </c>
      <c r="O223" s="58">
        <f t="shared" si="28"/>
        <v>0</v>
      </c>
      <c r="P223" s="53"/>
      <c r="Q223" s="10">
        <v>78208</v>
      </c>
      <c r="R223" s="10">
        <v>77991</v>
      </c>
      <c r="S223" s="98">
        <f t="shared" si="29"/>
        <v>217</v>
      </c>
      <c r="T223" s="53"/>
      <c r="U223" s="100"/>
      <c r="V223" s="53"/>
      <c r="W223" s="59">
        <f t="shared" si="30"/>
        <v>742180</v>
      </c>
      <c r="X223" s="53"/>
      <c r="Y223" s="8">
        <v>606319.98</v>
      </c>
      <c r="Z223" s="8">
        <f t="shared" ref="Z223:Z229" si="34">SUM(Y223-W223)</f>
        <v>-135860.02000000002</v>
      </c>
      <c r="AA223" s="2">
        <v>169791</v>
      </c>
      <c r="AD223" s="162"/>
    </row>
    <row r="224" spans="1:30" s="1" customFormat="1" ht="12" customHeight="1">
      <c r="A224" s="6" t="s">
        <v>297</v>
      </c>
      <c r="B224" s="6" t="s">
        <v>18</v>
      </c>
      <c r="C224" s="6" t="s">
        <v>321</v>
      </c>
      <c r="D224" s="15" t="s">
        <v>322</v>
      </c>
      <c r="E224" s="16"/>
      <c r="F224" s="53"/>
      <c r="G224" s="2">
        <v>201377</v>
      </c>
      <c r="H224" s="53"/>
      <c r="I224" s="10">
        <v>32000</v>
      </c>
      <c r="J224" s="2">
        <v>31982</v>
      </c>
      <c r="K224" s="58">
        <f t="shared" si="32"/>
        <v>18</v>
      </c>
      <c r="L224" s="53"/>
      <c r="M224" s="10">
        <v>97675</v>
      </c>
      <c r="N224" s="2">
        <v>101967</v>
      </c>
      <c r="O224" s="58">
        <f t="shared" si="28"/>
        <v>-4292</v>
      </c>
      <c r="P224" s="53"/>
      <c r="Q224" s="10"/>
      <c r="R224" s="10"/>
      <c r="S224" s="98">
        <f t="shared" si="29"/>
        <v>0</v>
      </c>
      <c r="T224" s="53"/>
      <c r="U224" s="100"/>
      <c r="V224" s="53"/>
      <c r="W224" s="59">
        <f t="shared" si="30"/>
        <v>335326</v>
      </c>
      <c r="X224" s="53"/>
      <c r="Y224" s="8">
        <v>81578.570000000007</v>
      </c>
      <c r="Z224" s="8">
        <f t="shared" si="34"/>
        <v>-253747.43</v>
      </c>
      <c r="AA224" s="2">
        <v>4084</v>
      </c>
      <c r="AD224" s="162"/>
    </row>
    <row r="225" spans="1:30" s="1" customFormat="1" ht="12" customHeight="1">
      <c r="A225" s="6" t="s">
        <v>297</v>
      </c>
      <c r="B225" s="6" t="s">
        <v>18</v>
      </c>
      <c r="C225" s="6" t="s">
        <v>323</v>
      </c>
      <c r="D225" s="15" t="s">
        <v>324</v>
      </c>
      <c r="E225" s="16"/>
      <c r="F225" s="53"/>
      <c r="G225" s="2">
        <v>720609</v>
      </c>
      <c r="H225" s="53"/>
      <c r="I225" s="10">
        <v>38000</v>
      </c>
      <c r="J225" s="2">
        <v>37234</v>
      </c>
      <c r="K225" s="58">
        <f t="shared" si="32"/>
        <v>766</v>
      </c>
      <c r="L225" s="53"/>
      <c r="M225" s="10">
        <v>138000</v>
      </c>
      <c r="N225" s="2">
        <v>141092</v>
      </c>
      <c r="O225" s="58">
        <f t="shared" si="28"/>
        <v>-3092</v>
      </c>
      <c r="P225" s="53"/>
      <c r="Q225" s="10">
        <v>77000</v>
      </c>
      <c r="R225" s="10">
        <v>76210</v>
      </c>
      <c r="S225" s="98">
        <f t="shared" si="29"/>
        <v>790</v>
      </c>
      <c r="T225" s="53"/>
      <c r="U225" s="100"/>
      <c r="V225" s="53"/>
      <c r="W225" s="59">
        <f t="shared" si="30"/>
        <v>975145</v>
      </c>
      <c r="X225" s="53"/>
      <c r="Y225" s="8">
        <v>710980.65</v>
      </c>
      <c r="Z225" s="8">
        <f t="shared" si="34"/>
        <v>-264164.34999999998</v>
      </c>
      <c r="AA225" s="2">
        <v>670170</v>
      </c>
      <c r="AD225" s="162"/>
    </row>
    <row r="226" spans="1:30" s="1" customFormat="1" ht="12" customHeight="1">
      <c r="A226" s="6" t="s">
        <v>297</v>
      </c>
      <c r="B226" s="6" t="s">
        <v>18</v>
      </c>
      <c r="C226" s="6" t="s">
        <v>325</v>
      </c>
      <c r="D226" s="15" t="s">
        <v>326</v>
      </c>
      <c r="E226" s="16"/>
      <c r="F226" s="53"/>
      <c r="G226" s="2">
        <v>364105</v>
      </c>
      <c r="H226" s="53"/>
      <c r="I226" s="10">
        <v>34282</v>
      </c>
      <c r="J226" s="2">
        <v>34037</v>
      </c>
      <c r="K226" s="58">
        <f t="shared" si="32"/>
        <v>245</v>
      </c>
      <c r="L226" s="53"/>
      <c r="M226" s="10">
        <v>128756</v>
      </c>
      <c r="N226" s="2">
        <v>128755</v>
      </c>
      <c r="O226" s="58">
        <f t="shared" si="28"/>
        <v>1</v>
      </c>
      <c r="P226" s="53"/>
      <c r="Q226" s="10">
        <v>13000</v>
      </c>
      <c r="R226" s="10">
        <v>11106</v>
      </c>
      <c r="S226" s="98">
        <f t="shared" si="29"/>
        <v>1894</v>
      </c>
      <c r="T226" s="53"/>
      <c r="U226" s="100"/>
      <c r="V226" s="53"/>
      <c r="W226" s="59">
        <f t="shared" si="30"/>
        <v>538003</v>
      </c>
      <c r="X226" s="53"/>
      <c r="Y226" s="8">
        <v>475558.31</v>
      </c>
      <c r="Z226" s="8">
        <f t="shared" si="34"/>
        <v>-62444.69</v>
      </c>
      <c r="AA226" s="2">
        <v>80214</v>
      </c>
      <c r="AD226" s="162"/>
    </row>
    <row r="227" spans="1:30" s="1" customFormat="1" ht="12" customHeight="1">
      <c r="A227" s="6" t="s">
        <v>297</v>
      </c>
      <c r="B227" s="6" t="s">
        <v>18</v>
      </c>
      <c r="C227" s="6" t="s">
        <v>327</v>
      </c>
      <c r="D227" s="15" t="s">
        <v>328</v>
      </c>
      <c r="E227" s="16"/>
      <c r="F227" s="53"/>
      <c r="G227" s="2"/>
      <c r="H227" s="53"/>
      <c r="I227" s="10"/>
      <c r="J227" s="2"/>
      <c r="K227" s="58">
        <f t="shared" si="32"/>
        <v>0</v>
      </c>
      <c r="L227" s="53"/>
      <c r="M227" s="10"/>
      <c r="N227" s="2"/>
      <c r="O227" s="58">
        <f t="shared" si="28"/>
        <v>0</v>
      </c>
      <c r="P227" s="53"/>
      <c r="Q227" s="10"/>
      <c r="R227" s="10"/>
      <c r="S227" s="98">
        <f t="shared" si="29"/>
        <v>0</v>
      </c>
      <c r="T227" s="53"/>
      <c r="U227" s="100"/>
      <c r="V227" s="53"/>
      <c r="W227" s="59">
        <f t="shared" si="30"/>
        <v>0</v>
      </c>
      <c r="X227" s="53"/>
      <c r="Y227" s="8"/>
      <c r="Z227" s="8">
        <f t="shared" si="34"/>
        <v>0</v>
      </c>
      <c r="AA227" s="2"/>
      <c r="AD227" s="162"/>
    </row>
    <row r="228" spans="1:30" s="1" customFormat="1" ht="12" customHeight="1">
      <c r="A228" s="6" t="s">
        <v>297</v>
      </c>
      <c r="B228" s="6" t="s">
        <v>18</v>
      </c>
      <c r="C228" s="6" t="s">
        <v>329</v>
      </c>
      <c r="D228" s="15" t="s">
        <v>330</v>
      </c>
      <c r="E228" s="16"/>
      <c r="F228" s="53"/>
      <c r="G228" s="2">
        <v>382280</v>
      </c>
      <c r="H228" s="53"/>
      <c r="I228" s="10">
        <v>42000</v>
      </c>
      <c r="J228" s="2">
        <v>41766</v>
      </c>
      <c r="K228" s="58">
        <f t="shared" si="32"/>
        <v>234</v>
      </c>
      <c r="L228" s="53"/>
      <c r="M228" s="10">
        <v>103256</v>
      </c>
      <c r="N228" s="2">
        <v>103256</v>
      </c>
      <c r="O228" s="58">
        <f t="shared" si="28"/>
        <v>0</v>
      </c>
      <c r="P228" s="53"/>
      <c r="Q228" s="10">
        <v>13500</v>
      </c>
      <c r="R228" s="10">
        <v>13422</v>
      </c>
      <c r="S228" s="98">
        <f t="shared" si="29"/>
        <v>78</v>
      </c>
      <c r="T228" s="53"/>
      <c r="U228" s="100"/>
      <c r="V228" s="53"/>
      <c r="W228" s="59">
        <f t="shared" si="30"/>
        <v>540724</v>
      </c>
      <c r="X228" s="53"/>
      <c r="Y228" s="8">
        <v>150291.21</v>
      </c>
      <c r="Z228" s="8">
        <f t="shared" si="34"/>
        <v>-390432.79000000004</v>
      </c>
      <c r="AA228" s="2">
        <v>104074</v>
      </c>
      <c r="AD228" s="162"/>
    </row>
    <row r="229" spans="1:30" s="1" customFormat="1" ht="12" customHeight="1">
      <c r="A229" s="6" t="s">
        <v>297</v>
      </c>
      <c r="B229" s="6" t="s">
        <v>18</v>
      </c>
      <c r="C229" s="6" t="s">
        <v>331</v>
      </c>
      <c r="D229" s="15" t="s">
        <v>332</v>
      </c>
      <c r="E229" s="16"/>
      <c r="F229" s="53"/>
      <c r="G229" s="2">
        <v>361363</v>
      </c>
      <c r="H229" s="53"/>
      <c r="I229" s="10">
        <v>54000</v>
      </c>
      <c r="J229" s="2">
        <v>53626</v>
      </c>
      <c r="K229" s="58">
        <f t="shared" si="32"/>
        <v>374</v>
      </c>
      <c r="L229" s="53"/>
      <c r="M229" s="10">
        <v>143813</v>
      </c>
      <c r="N229" s="2">
        <v>144552</v>
      </c>
      <c r="O229" s="58">
        <f t="shared" si="28"/>
        <v>-739</v>
      </c>
      <c r="P229" s="53"/>
      <c r="Q229" s="10">
        <v>34500</v>
      </c>
      <c r="R229" s="10">
        <v>31635</v>
      </c>
      <c r="S229" s="98">
        <f t="shared" si="29"/>
        <v>2865</v>
      </c>
      <c r="T229" s="53"/>
      <c r="U229" s="100"/>
      <c r="V229" s="53"/>
      <c r="W229" s="59">
        <f t="shared" si="30"/>
        <v>591176</v>
      </c>
      <c r="X229" s="53"/>
      <c r="Y229" s="8">
        <v>544841.18000000005</v>
      </c>
      <c r="Z229" s="8">
        <f t="shared" si="34"/>
        <v>-46334.819999999949</v>
      </c>
      <c r="AA229" s="2">
        <v>302311</v>
      </c>
      <c r="AD229" s="162"/>
    </row>
    <row r="230" spans="1:30" s="1" customFormat="1" ht="12" customHeight="1">
      <c r="A230" s="6" t="s">
        <v>297</v>
      </c>
      <c r="B230" s="6" t="s">
        <v>18</v>
      </c>
      <c r="C230" s="17" t="s">
        <v>333</v>
      </c>
      <c r="D230" s="15" t="s">
        <v>334</v>
      </c>
      <c r="E230" s="16"/>
      <c r="F230" s="53"/>
      <c r="G230" s="2"/>
      <c r="H230" s="53"/>
      <c r="I230" s="10"/>
      <c r="J230" s="2"/>
      <c r="K230" s="58">
        <f t="shared" si="32"/>
        <v>0</v>
      </c>
      <c r="L230" s="53"/>
      <c r="M230" s="10"/>
      <c r="N230" s="2"/>
      <c r="O230" s="58">
        <f t="shared" si="28"/>
        <v>0</v>
      </c>
      <c r="P230" s="53"/>
      <c r="Q230" s="10"/>
      <c r="R230" s="10"/>
      <c r="S230" s="98">
        <f t="shared" si="29"/>
        <v>0</v>
      </c>
      <c r="T230" s="53"/>
      <c r="U230" s="100"/>
      <c r="V230" s="53"/>
      <c r="W230" s="59">
        <f t="shared" si="30"/>
        <v>0</v>
      </c>
      <c r="X230" s="53"/>
      <c r="Y230" s="8"/>
      <c r="Z230" s="8"/>
      <c r="AA230" s="2">
        <v>954</v>
      </c>
      <c r="AD230" s="162"/>
    </row>
    <row r="231" spans="1:30" s="1" customFormat="1" ht="12" customHeight="1">
      <c r="A231" s="6" t="s">
        <v>297</v>
      </c>
      <c r="B231" s="6" t="s">
        <v>18</v>
      </c>
      <c r="C231" s="6" t="s">
        <v>335</v>
      </c>
      <c r="D231" s="12" t="s">
        <v>336</v>
      </c>
      <c r="E231" s="13"/>
      <c r="F231" s="53"/>
      <c r="G231" s="2">
        <v>154436</v>
      </c>
      <c r="H231" s="53"/>
      <c r="I231" s="10">
        <v>21000</v>
      </c>
      <c r="J231" s="2">
        <v>20756</v>
      </c>
      <c r="K231" s="58">
        <f t="shared" si="32"/>
        <v>244</v>
      </c>
      <c r="L231" s="53"/>
      <c r="M231" s="10">
        <v>63357</v>
      </c>
      <c r="N231" s="2">
        <v>63357</v>
      </c>
      <c r="O231" s="58">
        <f t="shared" si="28"/>
        <v>0</v>
      </c>
      <c r="P231" s="53"/>
      <c r="Q231" s="10">
        <v>27500</v>
      </c>
      <c r="R231" s="10">
        <v>23166</v>
      </c>
      <c r="S231" s="98">
        <f t="shared" si="29"/>
        <v>4334</v>
      </c>
      <c r="T231" s="53"/>
      <c r="U231" s="100"/>
      <c r="V231" s="53"/>
      <c r="W231" s="59">
        <f t="shared" si="30"/>
        <v>261715</v>
      </c>
      <c r="X231" s="53"/>
      <c r="Y231" s="8"/>
      <c r="Z231" s="8">
        <f>SUM(Y231-W231)</f>
        <v>-261715</v>
      </c>
      <c r="AA231" s="2">
        <v>17749</v>
      </c>
      <c r="AD231" s="162"/>
    </row>
    <row r="232" spans="1:30" s="1" customFormat="1" ht="12" customHeight="1">
      <c r="A232" s="6" t="s">
        <v>297</v>
      </c>
      <c r="B232" s="6" t="s">
        <v>18</v>
      </c>
      <c r="C232" s="6" t="s">
        <v>337</v>
      </c>
      <c r="D232" s="12" t="s">
        <v>338</v>
      </c>
      <c r="E232" s="13"/>
      <c r="F232" s="53"/>
      <c r="G232" s="2">
        <v>5</v>
      </c>
      <c r="H232" s="53"/>
      <c r="I232" s="10"/>
      <c r="J232" s="2"/>
      <c r="K232" s="58">
        <f t="shared" si="32"/>
        <v>0</v>
      </c>
      <c r="L232" s="53"/>
      <c r="M232" s="10"/>
      <c r="N232" s="2">
        <v>7</v>
      </c>
      <c r="O232" s="58">
        <f t="shared" si="28"/>
        <v>-7</v>
      </c>
      <c r="P232" s="53"/>
      <c r="Q232" s="10"/>
      <c r="R232" s="10"/>
      <c r="S232" s="98">
        <f t="shared" si="29"/>
        <v>0</v>
      </c>
      <c r="T232" s="53"/>
      <c r="U232" s="100"/>
      <c r="V232" s="53"/>
      <c r="W232" s="59">
        <f t="shared" si="30"/>
        <v>12</v>
      </c>
      <c r="X232" s="53"/>
      <c r="Y232" s="8"/>
      <c r="Z232" s="8">
        <f>SUM(Y232-W232)</f>
        <v>-12</v>
      </c>
      <c r="AA232" s="2">
        <v>10492</v>
      </c>
      <c r="AD232" s="162"/>
    </row>
    <row r="233" spans="1:30" s="1" customFormat="1" ht="12" customHeight="1">
      <c r="A233" s="6" t="s">
        <v>297</v>
      </c>
      <c r="B233" s="6" t="s">
        <v>18</v>
      </c>
      <c r="C233" s="6" t="s">
        <v>339</v>
      </c>
      <c r="D233" s="15" t="s">
        <v>340</v>
      </c>
      <c r="E233" s="16"/>
      <c r="F233" s="53"/>
      <c r="G233" s="2">
        <v>164496</v>
      </c>
      <c r="H233" s="53"/>
      <c r="I233" s="10">
        <v>33500</v>
      </c>
      <c r="J233" s="2">
        <v>33193</v>
      </c>
      <c r="K233" s="58">
        <f t="shared" si="32"/>
        <v>307</v>
      </c>
      <c r="L233" s="53"/>
      <c r="M233" s="10">
        <v>50315</v>
      </c>
      <c r="N233" s="2">
        <v>51309</v>
      </c>
      <c r="O233" s="58">
        <f t="shared" si="28"/>
        <v>-994</v>
      </c>
      <c r="P233" s="53"/>
      <c r="Q233" s="10">
        <v>8246</v>
      </c>
      <c r="R233" s="10"/>
      <c r="S233" s="98">
        <f t="shared" si="29"/>
        <v>8246</v>
      </c>
      <c r="T233" s="53"/>
      <c r="U233" s="100"/>
      <c r="V233" s="53"/>
      <c r="W233" s="59">
        <f t="shared" si="30"/>
        <v>248998</v>
      </c>
      <c r="X233" s="53"/>
      <c r="Y233" s="8">
        <v>2228.0500000000002</v>
      </c>
      <c r="Z233" s="8">
        <f>SUM(Y233-W233)</f>
        <v>-246769.95</v>
      </c>
      <c r="AA233" s="2">
        <v>14435</v>
      </c>
      <c r="AD233" s="162"/>
    </row>
    <row r="234" spans="1:30" s="1" customFormat="1" ht="12" customHeight="1">
      <c r="A234" s="6" t="s">
        <v>297</v>
      </c>
      <c r="B234" s="6" t="s">
        <v>18</v>
      </c>
      <c r="C234" s="6" t="s">
        <v>341</v>
      </c>
      <c r="D234" s="15" t="s">
        <v>342</v>
      </c>
      <c r="E234" s="16"/>
      <c r="F234" s="53"/>
      <c r="G234" s="2">
        <v>69850</v>
      </c>
      <c r="H234" s="53"/>
      <c r="I234" s="10">
        <v>24000</v>
      </c>
      <c r="J234" s="2">
        <v>23644</v>
      </c>
      <c r="K234" s="58">
        <f t="shared" si="32"/>
        <v>356</v>
      </c>
      <c r="L234" s="53"/>
      <c r="M234" s="10">
        <v>28439</v>
      </c>
      <c r="N234" s="2">
        <v>28438</v>
      </c>
      <c r="O234" s="58">
        <f t="shared" si="28"/>
        <v>1</v>
      </c>
      <c r="P234" s="53"/>
      <c r="Q234" s="10"/>
      <c r="R234" s="10"/>
      <c r="S234" s="98">
        <f t="shared" si="29"/>
        <v>0</v>
      </c>
      <c r="T234" s="53"/>
      <c r="U234" s="100"/>
      <c r="V234" s="53"/>
      <c r="W234" s="59">
        <f t="shared" si="30"/>
        <v>121932</v>
      </c>
      <c r="X234" s="53"/>
      <c r="Y234" s="8">
        <v>17788.23</v>
      </c>
      <c r="Z234" s="8">
        <f>SUM(Y234-W234)</f>
        <v>-104143.77</v>
      </c>
      <c r="AA234" s="2">
        <v>26063</v>
      </c>
      <c r="AD234" s="162"/>
    </row>
    <row r="235" spans="1:30" s="1" customFormat="1" ht="12" customHeight="1">
      <c r="A235" s="6" t="s">
        <v>297</v>
      </c>
      <c r="B235" s="6" t="s">
        <v>18</v>
      </c>
      <c r="C235" s="6">
        <v>206</v>
      </c>
      <c r="D235" s="15" t="s">
        <v>343</v>
      </c>
      <c r="E235" s="16"/>
      <c r="F235" s="53"/>
      <c r="G235" s="2">
        <v>84024</v>
      </c>
      <c r="H235" s="53"/>
      <c r="I235" s="10">
        <v>3000</v>
      </c>
      <c r="J235" s="2">
        <v>2454</v>
      </c>
      <c r="K235" s="58">
        <f t="shared" si="32"/>
        <v>546</v>
      </c>
      <c r="L235" s="53"/>
      <c r="M235" s="10">
        <v>1325</v>
      </c>
      <c r="N235" s="2">
        <v>1325</v>
      </c>
      <c r="O235" s="58">
        <f t="shared" si="28"/>
        <v>0</v>
      </c>
      <c r="P235" s="53"/>
      <c r="Q235" s="10"/>
      <c r="R235" s="10"/>
      <c r="S235" s="98">
        <f t="shared" si="29"/>
        <v>0</v>
      </c>
      <c r="T235" s="53"/>
      <c r="U235" s="100"/>
      <c r="V235" s="53"/>
      <c r="W235" s="59">
        <f t="shared" si="30"/>
        <v>87803</v>
      </c>
      <c r="X235" s="53"/>
      <c r="Y235" s="8">
        <v>7662</v>
      </c>
      <c r="Z235" s="8">
        <f>SUM(Y235-W235)</f>
        <v>-80141</v>
      </c>
      <c r="AA235" s="2">
        <v>10889</v>
      </c>
      <c r="AD235" s="162"/>
    </row>
    <row r="236" spans="1:30" s="1" customFormat="1" ht="6" customHeight="1">
      <c r="A236" s="38"/>
      <c r="B236" s="38"/>
      <c r="C236" s="38"/>
      <c r="D236" s="39"/>
      <c r="E236" s="40"/>
      <c r="F236" s="53"/>
      <c r="G236" s="41"/>
      <c r="H236" s="53"/>
      <c r="I236" s="42"/>
      <c r="J236" s="41"/>
      <c r="K236" s="43"/>
      <c r="L236" s="53"/>
      <c r="M236" s="42"/>
      <c r="N236" s="41"/>
      <c r="O236" s="113">
        <f t="shared" si="28"/>
        <v>0</v>
      </c>
      <c r="P236" s="53"/>
      <c r="Q236" s="42"/>
      <c r="R236" s="42"/>
      <c r="S236" s="118">
        <f t="shared" si="29"/>
        <v>0</v>
      </c>
      <c r="T236" s="53"/>
      <c r="U236" s="103"/>
      <c r="V236" s="53"/>
      <c r="W236" s="121">
        <f t="shared" si="30"/>
        <v>0</v>
      </c>
      <c r="X236" s="53"/>
      <c r="Y236" s="44"/>
      <c r="Z236" s="44"/>
      <c r="AA236" s="41"/>
      <c r="AD236" s="162"/>
    </row>
    <row r="237" spans="1:30" s="1" customFormat="1" ht="15" customHeight="1">
      <c r="A237" s="6" t="s">
        <v>297</v>
      </c>
      <c r="B237" s="6">
        <v>18</v>
      </c>
      <c r="C237" s="17" t="s">
        <v>58</v>
      </c>
      <c r="D237" s="18" t="s">
        <v>413</v>
      </c>
      <c r="E237" s="13"/>
      <c r="F237" s="53"/>
      <c r="G237" s="2">
        <v>174628</v>
      </c>
      <c r="H237" s="53"/>
      <c r="I237" s="10"/>
      <c r="J237" s="2"/>
      <c r="K237" s="58">
        <f>SUM(I237-J237)</f>
        <v>0</v>
      </c>
      <c r="L237" s="53"/>
      <c r="M237" s="10"/>
      <c r="N237" s="2"/>
      <c r="O237" s="58">
        <f t="shared" si="28"/>
        <v>0</v>
      </c>
      <c r="P237" s="53"/>
      <c r="Q237" s="10"/>
      <c r="R237" s="10"/>
      <c r="S237" s="98">
        <f t="shared" si="29"/>
        <v>0</v>
      </c>
      <c r="T237" s="53"/>
      <c r="U237" s="100"/>
      <c r="V237" s="53"/>
      <c r="W237" s="59">
        <f t="shared" si="30"/>
        <v>174628</v>
      </c>
      <c r="X237" s="53"/>
      <c r="Y237" s="8"/>
      <c r="Z237" s="8">
        <f>SUM(Y237-W237)</f>
        <v>-174628</v>
      </c>
      <c r="AA237" s="2"/>
      <c r="AD237" s="162"/>
    </row>
    <row r="238" spans="1:30" s="1" customFormat="1" ht="12" customHeight="1">
      <c r="A238" s="6" t="s">
        <v>297</v>
      </c>
      <c r="B238" s="6">
        <v>18</v>
      </c>
      <c r="C238" s="17" t="s">
        <v>344</v>
      </c>
      <c r="D238" s="15" t="s">
        <v>345</v>
      </c>
      <c r="E238" s="13"/>
      <c r="F238" s="53"/>
      <c r="G238" s="2">
        <v>380492</v>
      </c>
      <c r="H238" s="53"/>
      <c r="I238" s="10">
        <v>53500</v>
      </c>
      <c r="J238" s="2">
        <v>53064</v>
      </c>
      <c r="K238" s="58">
        <f>SUM(I238-J238)</f>
        <v>436</v>
      </c>
      <c r="L238" s="53"/>
      <c r="M238" s="10">
        <v>309904</v>
      </c>
      <c r="N238" s="2">
        <v>309904</v>
      </c>
      <c r="O238" s="58">
        <f t="shared" si="28"/>
        <v>0</v>
      </c>
      <c r="P238" s="53"/>
      <c r="Q238" s="10">
        <v>104924</v>
      </c>
      <c r="R238" s="10">
        <v>104677</v>
      </c>
      <c r="S238" s="98">
        <f t="shared" si="29"/>
        <v>247</v>
      </c>
      <c r="T238" s="53"/>
      <c r="U238" s="100">
        <v>307</v>
      </c>
      <c r="V238" s="53"/>
      <c r="W238" s="59">
        <f t="shared" si="30"/>
        <v>848444</v>
      </c>
      <c r="X238" s="53"/>
      <c r="Y238" s="8">
        <v>1597047.65</v>
      </c>
      <c r="Z238" s="8">
        <f>SUM(Y238-W238)</f>
        <v>748603.64999999991</v>
      </c>
      <c r="AA238" s="2">
        <v>1067540</v>
      </c>
      <c r="AD238" s="162"/>
    </row>
    <row r="239" spans="1:30" s="1" customFormat="1" ht="12" customHeight="1">
      <c r="A239" s="6" t="s">
        <v>297</v>
      </c>
      <c r="B239" s="6">
        <v>18</v>
      </c>
      <c r="C239" s="17" t="s">
        <v>346</v>
      </c>
      <c r="D239" s="15" t="s">
        <v>347</v>
      </c>
      <c r="E239" s="16"/>
      <c r="F239" s="53"/>
      <c r="G239" s="2">
        <v>104688</v>
      </c>
      <c r="H239" s="53"/>
      <c r="I239" s="10">
        <v>5000</v>
      </c>
      <c r="J239" s="2">
        <v>4577</v>
      </c>
      <c r="K239" s="58">
        <f>SUM(I239-J239)</f>
        <v>423</v>
      </c>
      <c r="L239" s="53"/>
      <c r="M239" s="10">
        <v>22598</v>
      </c>
      <c r="N239" s="2">
        <v>22597</v>
      </c>
      <c r="O239" s="58">
        <f t="shared" si="28"/>
        <v>1</v>
      </c>
      <c r="P239" s="53"/>
      <c r="Q239" s="10"/>
      <c r="R239" s="10"/>
      <c r="S239" s="98">
        <f t="shared" si="29"/>
        <v>0</v>
      </c>
      <c r="T239" s="53"/>
      <c r="U239" s="100"/>
      <c r="V239" s="53"/>
      <c r="W239" s="59">
        <f t="shared" si="30"/>
        <v>131862</v>
      </c>
      <c r="X239" s="53"/>
      <c r="Y239" s="8"/>
      <c r="Z239" s="8">
        <f>SUM(Y239-W239)</f>
        <v>-131862</v>
      </c>
      <c r="AA239" s="2">
        <v>23755</v>
      </c>
      <c r="AD239" s="162"/>
    </row>
    <row r="240" spans="1:30" s="32" customFormat="1" ht="15" customHeight="1">
      <c r="A240" s="19"/>
      <c r="B240" s="19"/>
      <c r="C240" s="19"/>
      <c r="D240" s="46" t="s">
        <v>414</v>
      </c>
      <c r="E240" s="21">
        <f>SUM(E237:E239)</f>
        <v>0</v>
      </c>
      <c r="F240" s="35"/>
      <c r="G240" s="5">
        <f>SUM(G237:G239)</f>
        <v>659808</v>
      </c>
      <c r="H240" s="35"/>
      <c r="I240" s="5">
        <f>SUM(I237:I239)</f>
        <v>58500</v>
      </c>
      <c r="J240" s="5">
        <f>SUM(J237:J239)</f>
        <v>57641</v>
      </c>
      <c r="K240" s="5">
        <f>SUM(K237:K239)</f>
        <v>859</v>
      </c>
      <c r="L240" s="35"/>
      <c r="M240" s="5">
        <f>SUM(M237:M239)</f>
        <v>332502</v>
      </c>
      <c r="N240" s="5">
        <f>SUM(N237:N239)</f>
        <v>332501</v>
      </c>
      <c r="O240" s="114">
        <f t="shared" si="28"/>
        <v>1</v>
      </c>
      <c r="P240" s="35"/>
      <c r="Q240" s="5">
        <f>SUM(Q237:Q239)</f>
        <v>104924</v>
      </c>
      <c r="R240" s="5">
        <f>SUM(R237:R239)</f>
        <v>104677</v>
      </c>
      <c r="S240" s="120">
        <f t="shared" si="29"/>
        <v>247</v>
      </c>
      <c r="T240" s="35"/>
      <c r="U240" s="5">
        <f>SUM(U237:U239)</f>
        <v>307</v>
      </c>
      <c r="V240" s="35"/>
      <c r="W240" s="122">
        <f t="shared" si="30"/>
        <v>1154934</v>
      </c>
      <c r="X240" s="35"/>
      <c r="Y240" s="5">
        <f>SUM(Y237:Y239)</f>
        <v>1597047.65</v>
      </c>
      <c r="Z240" s="5">
        <f>SUM(Z237:Z239)</f>
        <v>442113.64999999991</v>
      </c>
      <c r="AA240" s="5">
        <f>SUM(AA237:AA239)</f>
        <v>1091295</v>
      </c>
      <c r="AD240" s="164"/>
    </row>
    <row r="241" spans="1:30" s="1" customFormat="1" ht="6" customHeight="1">
      <c r="A241" s="38"/>
      <c r="B241" s="38"/>
      <c r="C241" s="38"/>
      <c r="D241" s="39"/>
      <c r="E241" s="40"/>
      <c r="F241" s="53"/>
      <c r="G241" s="41"/>
      <c r="H241" s="53"/>
      <c r="I241" s="42"/>
      <c r="J241" s="41"/>
      <c r="K241" s="43"/>
      <c r="L241" s="53"/>
      <c r="M241" s="42"/>
      <c r="N241" s="41"/>
      <c r="O241" s="113">
        <f t="shared" si="28"/>
        <v>0</v>
      </c>
      <c r="P241" s="53"/>
      <c r="Q241" s="42"/>
      <c r="R241" s="42"/>
      <c r="S241" s="118">
        <f t="shared" si="29"/>
        <v>0</v>
      </c>
      <c r="T241" s="53"/>
      <c r="U241" s="103"/>
      <c r="V241" s="53"/>
      <c r="W241" s="121">
        <f t="shared" si="30"/>
        <v>0</v>
      </c>
      <c r="X241" s="53"/>
      <c r="Y241" s="44"/>
      <c r="Z241" s="44"/>
      <c r="AA241" s="41"/>
      <c r="AD241" s="162"/>
    </row>
    <row r="242" spans="1:30" s="32" customFormat="1" ht="15" customHeight="1">
      <c r="A242" s="19" t="s">
        <v>297</v>
      </c>
      <c r="B242" s="19" t="s">
        <v>18</v>
      </c>
      <c r="C242" s="19" t="s">
        <v>93</v>
      </c>
      <c r="D242" s="18" t="s">
        <v>348</v>
      </c>
      <c r="E242" s="4"/>
      <c r="F242" s="35"/>
      <c r="G242" s="5">
        <v>587681</v>
      </c>
      <c r="H242" s="35"/>
      <c r="I242" s="22">
        <v>50084</v>
      </c>
      <c r="J242" s="5">
        <v>49757</v>
      </c>
      <c r="K242" s="58">
        <f>SUM(I242-J242)</f>
        <v>327</v>
      </c>
      <c r="L242" s="35"/>
      <c r="M242" s="22">
        <v>220248</v>
      </c>
      <c r="N242" s="5">
        <v>220247</v>
      </c>
      <c r="O242" s="58">
        <f t="shared" si="28"/>
        <v>1</v>
      </c>
      <c r="P242" s="35"/>
      <c r="Q242" s="22"/>
      <c r="R242" s="22"/>
      <c r="S242" s="98">
        <f t="shared" si="29"/>
        <v>0</v>
      </c>
      <c r="T242" s="35"/>
      <c r="U242" s="105"/>
      <c r="V242" s="35"/>
      <c r="W242" s="59">
        <f t="shared" si="30"/>
        <v>857685</v>
      </c>
      <c r="X242" s="35"/>
      <c r="Y242" s="14"/>
      <c r="Z242" s="14">
        <f>SUM(Y242-W242)</f>
        <v>-857685</v>
      </c>
      <c r="AA242" s="5"/>
      <c r="AD242" s="164"/>
    </row>
    <row r="243" spans="1:30" s="32" customFormat="1" ht="15" customHeight="1">
      <c r="A243" s="19" t="s">
        <v>297</v>
      </c>
      <c r="B243" s="19" t="s">
        <v>349</v>
      </c>
      <c r="C243" s="19" t="s">
        <v>93</v>
      </c>
      <c r="D243" s="18" t="s">
        <v>350</v>
      </c>
      <c r="E243" s="4"/>
      <c r="F243" s="35"/>
      <c r="G243" s="5">
        <v>166419</v>
      </c>
      <c r="H243" s="35"/>
      <c r="I243" s="22">
        <v>18800</v>
      </c>
      <c r="J243" s="5">
        <v>18221</v>
      </c>
      <c r="K243" s="58">
        <f>SUM(I243-J243)</f>
        <v>579</v>
      </c>
      <c r="L243" s="35"/>
      <c r="M243" s="22">
        <v>21919</v>
      </c>
      <c r="N243" s="5">
        <v>21918</v>
      </c>
      <c r="O243" s="58">
        <f t="shared" si="28"/>
        <v>1</v>
      </c>
      <c r="P243" s="35"/>
      <c r="Q243" s="22"/>
      <c r="R243" s="22"/>
      <c r="S243" s="98">
        <f t="shared" si="29"/>
        <v>0</v>
      </c>
      <c r="T243" s="35"/>
      <c r="U243" s="105"/>
      <c r="V243" s="35"/>
      <c r="W243" s="59">
        <f t="shared" si="30"/>
        <v>206558</v>
      </c>
      <c r="X243" s="35"/>
      <c r="Y243" s="14"/>
      <c r="Z243" s="14">
        <f>SUM(Y243-W243)</f>
        <v>-206558</v>
      </c>
      <c r="AA243" s="5"/>
      <c r="AD243" s="164"/>
    </row>
    <row r="244" spans="1:30" s="32" customFormat="1" ht="15" hidden="1" customHeight="1">
      <c r="A244" s="19"/>
      <c r="B244" s="19"/>
      <c r="C244" s="19"/>
      <c r="D244" s="18"/>
      <c r="E244" s="4"/>
      <c r="F244" s="35"/>
      <c r="G244" s="5"/>
      <c r="H244" s="35"/>
      <c r="I244" s="22"/>
      <c r="J244" s="5"/>
      <c r="K244" s="58">
        <f>SUM(I244-J244)</f>
        <v>0</v>
      </c>
      <c r="L244" s="35"/>
      <c r="M244" s="22"/>
      <c r="N244" s="5"/>
      <c r="O244" s="58">
        <f t="shared" si="28"/>
        <v>0</v>
      </c>
      <c r="P244" s="35"/>
      <c r="Q244" s="22"/>
      <c r="R244" s="22"/>
      <c r="S244" s="98">
        <f t="shared" si="29"/>
        <v>0</v>
      </c>
      <c r="T244" s="35"/>
      <c r="U244" s="105"/>
      <c r="V244" s="35"/>
      <c r="W244" s="59">
        <f t="shared" si="30"/>
        <v>0</v>
      </c>
      <c r="X244" s="35"/>
      <c r="Y244" s="14"/>
      <c r="Z244" s="14"/>
      <c r="AA244" s="5"/>
      <c r="AD244" s="164"/>
    </row>
    <row r="245" spans="1:30" s="32" customFormat="1" ht="16.5" customHeight="1">
      <c r="A245" s="19"/>
      <c r="B245" s="19"/>
      <c r="C245" s="19"/>
      <c r="D245" s="48" t="s">
        <v>351</v>
      </c>
      <c r="E245" s="4">
        <f>SUM(E212:E235, +E240, +E242, +E243)</f>
        <v>0</v>
      </c>
      <c r="F245" s="35"/>
      <c r="G245" s="5">
        <f>SUM(G212:G235)+G240+G242+G243</f>
        <v>6689217</v>
      </c>
      <c r="H245" s="35"/>
      <c r="I245" s="5">
        <f>SUM(I212:I235)+I240+I242+I243</f>
        <v>746484</v>
      </c>
      <c r="J245" s="5">
        <f>SUM(J212:J235)+J240+J242+J243</f>
        <v>739817</v>
      </c>
      <c r="K245" s="5">
        <f>SUM(K212:K235)+K240+K242+K243</f>
        <v>6667</v>
      </c>
      <c r="L245" s="35"/>
      <c r="M245" s="5">
        <f>SUM(M212:M235)+M240+M242+M243</f>
        <v>2245119</v>
      </c>
      <c r="N245" s="5">
        <f>SUM(N212:N235)+N240+N242+N243</f>
        <v>2264876</v>
      </c>
      <c r="O245" s="114">
        <f t="shared" si="28"/>
        <v>-19757</v>
      </c>
      <c r="P245" s="35"/>
      <c r="Q245" s="5">
        <f>SUM(Q212:Q235)+Q240+Q242+Q243</f>
        <v>632240</v>
      </c>
      <c r="R245" s="5">
        <f>SUM(R212:R235)+R240+R242+R243</f>
        <v>563941</v>
      </c>
      <c r="S245" s="120">
        <f t="shared" si="29"/>
        <v>68299</v>
      </c>
      <c r="T245" s="35"/>
      <c r="U245" s="5">
        <f>SUM(U212:U235)+U240+U242+U243</f>
        <v>72619</v>
      </c>
      <c r="V245" s="35"/>
      <c r="W245" s="122">
        <f t="shared" si="30"/>
        <v>10330470</v>
      </c>
      <c r="X245" s="35"/>
      <c r="Y245" s="5">
        <f>SUM(Y212:Y235)+Y240+Y242+Y243</f>
        <v>7946842.9000000004</v>
      </c>
      <c r="Z245" s="5">
        <f>SUM(Z212:Z235)+Z240+Z242+Z243</f>
        <v>-2383627.1000000006</v>
      </c>
      <c r="AA245" s="5">
        <f>SUM(AA212:AA235)+AA240+AA242+AA243</f>
        <v>4897464</v>
      </c>
      <c r="AD245" s="164"/>
    </row>
    <row r="246" spans="1:30" s="1" customFormat="1" ht="7.5" customHeight="1">
      <c r="A246" s="19"/>
      <c r="B246" s="19"/>
      <c r="C246" s="19"/>
      <c r="D246" s="18"/>
      <c r="E246" s="4"/>
      <c r="F246" s="53"/>
      <c r="G246" s="5"/>
      <c r="H246" s="53"/>
      <c r="I246" s="5"/>
      <c r="J246" s="5"/>
      <c r="K246" s="9"/>
      <c r="L246" s="53"/>
      <c r="M246" s="2"/>
      <c r="N246" s="2"/>
      <c r="O246" s="58">
        <f t="shared" si="28"/>
        <v>0</v>
      </c>
      <c r="P246" s="53"/>
      <c r="Q246" s="2"/>
      <c r="R246" s="2"/>
      <c r="S246" s="98">
        <f t="shared" si="29"/>
        <v>0</v>
      </c>
      <c r="T246" s="53"/>
      <c r="U246" s="104"/>
      <c r="V246" s="53"/>
      <c r="W246" s="59">
        <f t="shared" si="30"/>
        <v>0</v>
      </c>
      <c r="X246" s="53"/>
      <c r="Y246" s="8"/>
      <c r="Z246" s="8"/>
      <c r="AA246" s="2"/>
      <c r="AD246" s="162"/>
    </row>
    <row r="247" spans="1:30" s="87" customFormat="1" ht="21" customHeight="1">
      <c r="A247" s="85"/>
      <c r="B247" s="85"/>
      <c r="C247" s="85"/>
      <c r="D247" s="88" t="s">
        <v>352</v>
      </c>
      <c r="E247" s="86">
        <f>SUM(E58+E112+E161+E210+E245)</f>
        <v>0</v>
      </c>
      <c r="F247" s="35"/>
      <c r="G247" s="70">
        <f>+G245+G210+G161+G112+G58</f>
        <v>33102711</v>
      </c>
      <c r="H247" s="35"/>
      <c r="I247" s="70">
        <f>+I245+I210+I161+I112+I58</f>
        <v>3484072</v>
      </c>
      <c r="J247" s="70">
        <f>+J245+J210+J161+J112+J58</f>
        <v>3458045</v>
      </c>
      <c r="K247" s="70">
        <f>+K245+K210+K161+K112+K58</f>
        <v>26027</v>
      </c>
      <c r="L247" s="35"/>
      <c r="M247" s="70">
        <f>+M245+M210+M161+M112+M58</f>
        <v>10912786</v>
      </c>
      <c r="N247" s="70">
        <f>+N245+N210+N161+N112+N58</f>
        <v>10939565</v>
      </c>
      <c r="O247" s="115">
        <f t="shared" si="28"/>
        <v>-26779</v>
      </c>
      <c r="P247" s="35"/>
      <c r="Q247" s="70">
        <f>+Q245+Q210+Q161+Q112+Q58</f>
        <v>2501956</v>
      </c>
      <c r="R247" s="70">
        <f>+R245+R210+R161+R112+R58</f>
        <v>2377273</v>
      </c>
      <c r="S247" s="119">
        <f t="shared" si="29"/>
        <v>124683</v>
      </c>
      <c r="T247" s="35"/>
      <c r="U247" s="70">
        <f>+U245+U210+U161+U112+U58</f>
        <v>1441791</v>
      </c>
      <c r="V247" s="35"/>
      <c r="W247" s="123">
        <f t="shared" si="30"/>
        <v>51319385</v>
      </c>
      <c r="X247" s="35"/>
      <c r="Y247" s="70">
        <f>+Y245+Y210+Y161+Y112+Y58</f>
        <v>31361178.320000004</v>
      </c>
      <c r="Z247" s="70">
        <f>+Z245+Z210+Z161+Z112+Z58</f>
        <v>-19958206.680000003</v>
      </c>
      <c r="AA247" s="70">
        <f>+AA245+AA210+AA161+AA112+AA58</f>
        <v>18219295</v>
      </c>
      <c r="AD247" s="165"/>
    </row>
    <row r="248" spans="1:30" s="1" customFormat="1">
      <c r="A248" s="24"/>
      <c r="B248" s="24"/>
      <c r="C248" s="24"/>
      <c r="D248" s="49" t="s">
        <v>353</v>
      </c>
      <c r="E248" s="7"/>
      <c r="F248" s="53"/>
      <c r="G248" s="2"/>
      <c r="H248" s="53"/>
      <c r="I248" s="2"/>
      <c r="J248" s="2"/>
      <c r="K248" s="9"/>
      <c r="L248" s="53"/>
      <c r="M248" s="2"/>
      <c r="N248" s="2"/>
      <c r="O248" s="58">
        <f t="shared" si="28"/>
        <v>0</v>
      </c>
      <c r="P248" s="53"/>
      <c r="Q248" s="2"/>
      <c r="R248" s="2"/>
      <c r="S248" s="98">
        <f t="shared" si="29"/>
        <v>0</v>
      </c>
      <c r="T248" s="53"/>
      <c r="U248" s="104"/>
      <c r="V248" s="53"/>
      <c r="W248" s="59">
        <f t="shared" si="30"/>
        <v>0</v>
      </c>
      <c r="X248" s="53"/>
      <c r="Y248" s="8"/>
      <c r="Z248" s="8"/>
      <c r="AA248" s="2"/>
      <c r="AD248" s="162"/>
    </row>
    <row r="249" spans="1:30" s="1" customFormat="1" ht="12" customHeight="1">
      <c r="A249" s="6"/>
      <c r="B249" s="6"/>
      <c r="C249" s="6"/>
      <c r="D249" s="15" t="s">
        <v>354</v>
      </c>
      <c r="E249" s="16"/>
      <c r="F249" s="53"/>
      <c r="G249" s="2">
        <v>668312</v>
      </c>
      <c r="H249" s="53"/>
      <c r="I249" s="2">
        <v>28300</v>
      </c>
      <c r="J249" s="2">
        <v>31112</v>
      </c>
      <c r="K249" s="58">
        <f t="shared" ref="K249:K254" si="35">SUM(I249-J249)</f>
        <v>-2812</v>
      </c>
      <c r="L249" s="53"/>
      <c r="M249" s="2">
        <v>100000</v>
      </c>
      <c r="N249" s="10">
        <v>-855530</v>
      </c>
      <c r="O249" s="58">
        <f t="shared" si="28"/>
        <v>955530</v>
      </c>
      <c r="P249" s="53"/>
      <c r="Q249" s="2"/>
      <c r="R249" s="2"/>
      <c r="S249" s="98">
        <f t="shared" si="29"/>
        <v>0</v>
      </c>
      <c r="T249" s="53"/>
      <c r="U249" s="104"/>
      <c r="V249" s="53"/>
      <c r="W249" s="59">
        <f t="shared" si="30"/>
        <v>-156106</v>
      </c>
      <c r="X249" s="53"/>
      <c r="Y249" s="8"/>
      <c r="Z249" s="8">
        <f t="shared" ref="Z249:Z254" si="36">SUM(Y249-W249)</f>
        <v>156106</v>
      </c>
      <c r="AA249" s="2"/>
      <c r="AD249" s="162"/>
    </row>
    <row r="250" spans="1:30" s="1" customFormat="1" ht="12" customHeight="1">
      <c r="A250" s="6"/>
      <c r="B250" s="6"/>
      <c r="C250" s="6"/>
      <c r="D250" s="15" t="s">
        <v>355</v>
      </c>
      <c r="E250" s="16"/>
      <c r="F250" s="53"/>
      <c r="G250" s="2"/>
      <c r="H250" s="53"/>
      <c r="I250" s="2"/>
      <c r="J250" s="2"/>
      <c r="K250" s="58">
        <f t="shared" si="35"/>
        <v>0</v>
      </c>
      <c r="L250" s="53"/>
      <c r="M250" s="2">
        <v>22000</v>
      </c>
      <c r="N250" s="10">
        <v>20756</v>
      </c>
      <c r="O250" s="58">
        <f t="shared" si="28"/>
        <v>1244</v>
      </c>
      <c r="P250" s="53"/>
      <c r="Q250" s="2"/>
      <c r="R250" s="2"/>
      <c r="S250" s="98">
        <f t="shared" si="29"/>
        <v>0</v>
      </c>
      <c r="T250" s="53"/>
      <c r="U250" s="104"/>
      <c r="V250" s="53"/>
      <c r="W250" s="59">
        <f t="shared" si="30"/>
        <v>20756</v>
      </c>
      <c r="X250" s="53"/>
      <c r="Y250" s="8"/>
      <c r="Z250" s="8">
        <f t="shared" si="36"/>
        <v>-20756</v>
      </c>
      <c r="AA250" s="2"/>
      <c r="AD250" s="162"/>
    </row>
    <row r="251" spans="1:30" s="1" customFormat="1" ht="12" customHeight="1">
      <c r="A251" s="6"/>
      <c r="B251" s="6"/>
      <c r="C251" s="6"/>
      <c r="D251" s="15" t="s">
        <v>356</v>
      </c>
      <c r="E251" s="16"/>
      <c r="F251" s="53"/>
      <c r="G251" s="2"/>
      <c r="H251" s="53"/>
      <c r="I251" s="2">
        <v>70000</v>
      </c>
      <c r="J251" s="2">
        <v>73386</v>
      </c>
      <c r="K251" s="58">
        <f t="shared" si="35"/>
        <v>-3386</v>
      </c>
      <c r="L251" s="53"/>
      <c r="M251" s="2">
        <v>40000</v>
      </c>
      <c r="N251" s="10">
        <v>45704</v>
      </c>
      <c r="O251" s="58">
        <f t="shared" si="28"/>
        <v>-5704</v>
      </c>
      <c r="P251" s="53"/>
      <c r="Q251" s="2"/>
      <c r="R251" s="2"/>
      <c r="S251" s="98">
        <f t="shared" si="29"/>
        <v>0</v>
      </c>
      <c r="T251" s="53"/>
      <c r="U251" s="104"/>
      <c r="V251" s="53"/>
      <c r="W251" s="59">
        <f t="shared" si="30"/>
        <v>119090</v>
      </c>
      <c r="X251" s="53"/>
      <c r="Y251" s="8"/>
      <c r="Z251" s="8">
        <f t="shared" si="36"/>
        <v>-119090</v>
      </c>
      <c r="AA251" s="2"/>
      <c r="AD251" s="162"/>
    </row>
    <row r="252" spans="1:30" s="1" customFormat="1" ht="12" customHeight="1">
      <c r="A252" s="6"/>
      <c r="B252" s="6"/>
      <c r="C252" s="6"/>
      <c r="D252" s="15" t="s">
        <v>357</v>
      </c>
      <c r="E252" s="16"/>
      <c r="F252" s="53"/>
      <c r="G252" s="2"/>
      <c r="H252" s="53"/>
      <c r="I252" s="2"/>
      <c r="J252" s="2"/>
      <c r="K252" s="58">
        <f t="shared" si="35"/>
        <v>0</v>
      </c>
      <c r="L252" s="53"/>
      <c r="M252" s="2"/>
      <c r="N252" s="10"/>
      <c r="O252" s="58">
        <f t="shared" si="28"/>
        <v>0</v>
      </c>
      <c r="P252" s="53"/>
      <c r="Q252" s="2"/>
      <c r="R252" s="2"/>
      <c r="S252" s="98">
        <f t="shared" si="29"/>
        <v>0</v>
      </c>
      <c r="T252" s="53"/>
      <c r="U252" s="104"/>
      <c r="V252" s="53"/>
      <c r="W252" s="59">
        <f t="shared" si="30"/>
        <v>0</v>
      </c>
      <c r="X252" s="53"/>
      <c r="Y252" s="8"/>
      <c r="Z252" s="8">
        <f t="shared" si="36"/>
        <v>0</v>
      </c>
      <c r="AA252" s="2"/>
      <c r="AD252" s="162"/>
    </row>
    <row r="253" spans="1:30" s="1" customFormat="1" ht="12" customHeight="1">
      <c r="A253" s="6"/>
      <c r="B253" s="6"/>
      <c r="C253" s="6"/>
      <c r="D253" s="15" t="s">
        <v>358</v>
      </c>
      <c r="E253" s="16"/>
      <c r="F253" s="53"/>
      <c r="G253" s="2">
        <v>80295</v>
      </c>
      <c r="H253" s="53"/>
      <c r="I253" s="2"/>
      <c r="J253" s="2">
        <v>594</v>
      </c>
      <c r="K253" s="58">
        <f t="shared" si="35"/>
        <v>-594</v>
      </c>
      <c r="L253" s="53"/>
      <c r="M253" s="2">
        <v>1250000</v>
      </c>
      <c r="N253" s="10">
        <v>1242101</v>
      </c>
      <c r="O253" s="58">
        <f t="shared" si="28"/>
        <v>7899</v>
      </c>
      <c r="P253" s="53"/>
      <c r="Q253" s="2"/>
      <c r="R253" s="2"/>
      <c r="S253" s="98">
        <f t="shared" si="29"/>
        <v>0</v>
      </c>
      <c r="T253" s="53"/>
      <c r="U253" s="104"/>
      <c r="V253" s="53"/>
      <c r="W253" s="59">
        <f t="shared" si="30"/>
        <v>1322990</v>
      </c>
      <c r="X253" s="53"/>
      <c r="Y253" s="8"/>
      <c r="Z253" s="8">
        <f t="shared" si="36"/>
        <v>-1322990</v>
      </c>
      <c r="AA253" s="2"/>
      <c r="AD253" s="162"/>
    </row>
    <row r="254" spans="1:30" s="1" customFormat="1" ht="12" customHeight="1">
      <c r="A254" s="6"/>
      <c r="B254" s="6"/>
      <c r="C254" s="6"/>
      <c r="D254" s="15" t="s">
        <v>359</v>
      </c>
      <c r="E254" s="16"/>
      <c r="F254" s="53"/>
      <c r="G254" s="2">
        <v>330156</v>
      </c>
      <c r="H254" s="53"/>
      <c r="I254" s="2"/>
      <c r="J254" s="2"/>
      <c r="K254" s="58">
        <f t="shared" si="35"/>
        <v>0</v>
      </c>
      <c r="L254" s="53"/>
      <c r="M254" s="2">
        <v>30000</v>
      </c>
      <c r="N254" s="10">
        <v>16813</v>
      </c>
      <c r="O254" s="58">
        <f t="shared" si="28"/>
        <v>13187</v>
      </c>
      <c r="P254" s="53"/>
      <c r="Q254" s="2"/>
      <c r="R254" s="2"/>
      <c r="S254" s="98">
        <f t="shared" si="29"/>
        <v>0</v>
      </c>
      <c r="T254" s="53"/>
      <c r="U254" s="104"/>
      <c r="V254" s="53"/>
      <c r="W254" s="59">
        <f t="shared" si="30"/>
        <v>346969</v>
      </c>
      <c r="X254" s="53"/>
      <c r="Y254" s="8"/>
      <c r="Z254" s="8">
        <f t="shared" si="36"/>
        <v>-346969</v>
      </c>
      <c r="AA254" s="2"/>
      <c r="AD254" s="162"/>
    </row>
    <row r="255" spans="1:30" s="1" customFormat="1" ht="6" customHeight="1">
      <c r="A255" s="38"/>
      <c r="B255" s="38"/>
      <c r="C255" s="38"/>
      <c r="D255" s="39"/>
      <c r="E255" s="40"/>
      <c r="F255" s="53"/>
      <c r="G255" s="41"/>
      <c r="H255" s="53"/>
      <c r="I255" s="42"/>
      <c r="J255" s="41"/>
      <c r="K255" s="43"/>
      <c r="L255" s="53"/>
      <c r="M255" s="42"/>
      <c r="N255" s="41"/>
      <c r="O255" s="113">
        <f t="shared" ref="O255:O281" si="37">SUM(M255-N255)</f>
        <v>0</v>
      </c>
      <c r="P255" s="53"/>
      <c r="Q255" s="42"/>
      <c r="R255" s="42"/>
      <c r="S255" s="118">
        <f t="shared" ref="S255:S275" si="38">Q255-R255</f>
        <v>0</v>
      </c>
      <c r="T255" s="53"/>
      <c r="U255" s="103"/>
      <c r="V255" s="53"/>
      <c r="W255" s="121">
        <f t="shared" ref="W255:W281" si="39">SUM(G255+J255+U255+N255+R255)</f>
        <v>0</v>
      </c>
      <c r="X255" s="53"/>
      <c r="Y255" s="44"/>
      <c r="Z255" s="44"/>
      <c r="AA255" s="41"/>
      <c r="AD255" s="162"/>
    </row>
    <row r="256" spans="1:30" s="1" customFormat="1" ht="17.100000000000001" customHeight="1">
      <c r="A256" s="6" t="s">
        <v>155</v>
      </c>
      <c r="B256" s="6" t="s">
        <v>18</v>
      </c>
      <c r="C256" s="6" t="s">
        <v>58</v>
      </c>
      <c r="D256" s="18" t="s">
        <v>360</v>
      </c>
      <c r="E256" s="4"/>
      <c r="F256" s="53"/>
      <c r="G256" s="2">
        <v>185846</v>
      </c>
      <c r="H256" s="53"/>
      <c r="I256" s="10">
        <v>34000</v>
      </c>
      <c r="J256" s="2">
        <v>37440</v>
      </c>
      <c r="K256" s="58">
        <f>SUM(I256-J256)</f>
        <v>-3440</v>
      </c>
      <c r="L256" s="53"/>
      <c r="M256" s="10">
        <v>89000</v>
      </c>
      <c r="N256" s="2">
        <v>81969</v>
      </c>
      <c r="O256" s="58">
        <f t="shared" si="37"/>
        <v>7031</v>
      </c>
      <c r="P256" s="53"/>
      <c r="Q256" s="2"/>
      <c r="R256" s="2"/>
      <c r="S256" s="98">
        <f t="shared" si="38"/>
        <v>0</v>
      </c>
      <c r="T256" s="53"/>
      <c r="U256" s="104"/>
      <c r="V256" s="53"/>
      <c r="W256" s="59">
        <f t="shared" si="39"/>
        <v>305255</v>
      </c>
      <c r="X256" s="53"/>
      <c r="Y256" s="8"/>
      <c r="Z256" s="8">
        <f>SUM(Y256-W256)</f>
        <v>-305255</v>
      </c>
      <c r="AA256" s="2"/>
      <c r="AD256" s="162"/>
    </row>
    <row r="257" spans="1:30" s="1" customFormat="1" ht="12" customHeight="1">
      <c r="A257" s="6" t="s">
        <v>155</v>
      </c>
      <c r="B257" s="6" t="s">
        <v>361</v>
      </c>
      <c r="C257" s="6" t="s">
        <v>58</v>
      </c>
      <c r="D257" s="15" t="s">
        <v>362</v>
      </c>
      <c r="E257" s="16"/>
      <c r="F257" s="53"/>
      <c r="G257" s="2">
        <v>58816</v>
      </c>
      <c r="H257" s="53"/>
      <c r="I257" s="10"/>
      <c r="J257" s="2"/>
      <c r="K257" s="58">
        <f>SUM(I257-J257)</f>
        <v>0</v>
      </c>
      <c r="L257" s="53"/>
      <c r="M257" s="10">
        <v>5000</v>
      </c>
      <c r="N257" s="2">
        <v>2383</v>
      </c>
      <c r="O257" s="58">
        <f t="shared" si="37"/>
        <v>2617</v>
      </c>
      <c r="P257" s="53"/>
      <c r="Q257" s="2"/>
      <c r="R257" s="2"/>
      <c r="S257" s="98">
        <f t="shared" si="38"/>
        <v>0</v>
      </c>
      <c r="T257" s="53"/>
      <c r="U257" s="104"/>
      <c r="V257" s="53"/>
      <c r="W257" s="59">
        <f t="shared" si="39"/>
        <v>61199</v>
      </c>
      <c r="X257" s="53"/>
      <c r="Y257" s="8"/>
      <c r="Z257" s="8">
        <f>SUM(Y257-W257)</f>
        <v>-61199</v>
      </c>
      <c r="AA257" s="2"/>
      <c r="AD257" s="162"/>
    </row>
    <row r="258" spans="1:30" s="1" customFormat="1" ht="12" customHeight="1">
      <c r="A258" s="6" t="s">
        <v>155</v>
      </c>
      <c r="B258" s="6" t="s">
        <v>219</v>
      </c>
      <c r="C258" s="6" t="s">
        <v>58</v>
      </c>
      <c r="D258" s="15" t="s">
        <v>363</v>
      </c>
      <c r="E258" s="16"/>
      <c r="F258" s="53"/>
      <c r="G258" s="2">
        <v>113682</v>
      </c>
      <c r="H258" s="53"/>
      <c r="I258" s="10">
        <v>31000</v>
      </c>
      <c r="J258" s="2">
        <v>30631</v>
      </c>
      <c r="K258" s="58">
        <f>SUM(I258-J258)</f>
        <v>369</v>
      </c>
      <c r="L258" s="53"/>
      <c r="M258" s="10">
        <v>10000</v>
      </c>
      <c r="N258" s="2">
        <v>7430</v>
      </c>
      <c r="O258" s="58">
        <f t="shared" si="37"/>
        <v>2570</v>
      </c>
      <c r="P258" s="53"/>
      <c r="Q258" s="2"/>
      <c r="R258" s="2"/>
      <c r="S258" s="98">
        <f t="shared" si="38"/>
        <v>0</v>
      </c>
      <c r="T258" s="53"/>
      <c r="U258" s="104"/>
      <c r="V258" s="53"/>
      <c r="W258" s="59">
        <f t="shared" si="39"/>
        <v>151743</v>
      </c>
      <c r="X258" s="53"/>
      <c r="Y258" s="8"/>
      <c r="Z258" s="8">
        <f>SUM(Y258-W258)</f>
        <v>-151743</v>
      </c>
      <c r="AA258" s="2"/>
      <c r="AD258" s="162"/>
    </row>
    <row r="259" spans="1:30" s="1" customFormat="1" ht="12" customHeight="1">
      <c r="A259" s="6" t="s">
        <v>155</v>
      </c>
      <c r="B259" s="6" t="s">
        <v>196</v>
      </c>
      <c r="C259" s="6" t="s">
        <v>58</v>
      </c>
      <c r="D259" s="15" t="s">
        <v>364</v>
      </c>
      <c r="E259" s="16"/>
      <c r="F259" s="53"/>
      <c r="G259" s="2">
        <v>303583</v>
      </c>
      <c r="H259" s="53"/>
      <c r="I259" s="10">
        <v>150000</v>
      </c>
      <c r="J259" s="2">
        <f>150882+761</f>
        <v>151643</v>
      </c>
      <c r="K259" s="58">
        <f>SUM(I259-J259)</f>
        <v>-1643</v>
      </c>
      <c r="L259" s="53"/>
      <c r="M259" s="10">
        <v>41000</v>
      </c>
      <c r="N259" s="2">
        <v>34463</v>
      </c>
      <c r="O259" s="58">
        <f t="shared" si="37"/>
        <v>6537</v>
      </c>
      <c r="P259" s="53"/>
      <c r="Q259" s="2"/>
      <c r="R259" s="2"/>
      <c r="S259" s="98">
        <f t="shared" si="38"/>
        <v>0</v>
      </c>
      <c r="T259" s="53"/>
      <c r="U259" s="104"/>
      <c r="V259" s="53"/>
      <c r="W259" s="59">
        <f t="shared" si="39"/>
        <v>489689</v>
      </c>
      <c r="X259" s="53"/>
      <c r="Y259" s="8"/>
      <c r="Z259" s="8">
        <f>SUM(Y259-W259)</f>
        <v>-489689</v>
      </c>
      <c r="AA259" s="2"/>
      <c r="AD259" s="162"/>
    </row>
    <row r="260" spans="1:30" s="32" customFormat="1" ht="15.9" customHeight="1">
      <c r="A260" s="19"/>
      <c r="B260" s="19"/>
      <c r="C260" s="19"/>
      <c r="D260" s="18" t="s">
        <v>365</v>
      </c>
      <c r="E260" s="4">
        <f>SUM(E256:E259)</f>
        <v>0</v>
      </c>
      <c r="F260" s="35"/>
      <c r="G260" s="5">
        <f>SUM(G256:G259)</f>
        <v>661927</v>
      </c>
      <c r="H260" s="35"/>
      <c r="I260" s="5">
        <f>SUM(I256:I259)</f>
        <v>215000</v>
      </c>
      <c r="J260" s="5">
        <f>SUM(J256:J259)</f>
        <v>219714</v>
      </c>
      <c r="K260" s="5">
        <f>SUM(K256:K259)</f>
        <v>-4714</v>
      </c>
      <c r="L260" s="35"/>
      <c r="M260" s="5">
        <f>SUM(M256:M259)</f>
        <v>145000</v>
      </c>
      <c r="N260" s="5">
        <f>SUM(N256:N259)</f>
        <v>126245</v>
      </c>
      <c r="O260" s="114">
        <f t="shared" si="37"/>
        <v>18755</v>
      </c>
      <c r="P260" s="35"/>
      <c r="Q260" s="5"/>
      <c r="R260" s="5"/>
      <c r="S260" s="98">
        <f t="shared" si="38"/>
        <v>0</v>
      </c>
      <c r="T260" s="35"/>
      <c r="U260" s="102"/>
      <c r="V260" s="35"/>
      <c r="W260" s="122">
        <f t="shared" si="39"/>
        <v>1007886</v>
      </c>
      <c r="X260" s="35"/>
      <c r="Y260" s="5"/>
      <c r="Z260" s="14">
        <f>SUM(Y260-W260)</f>
        <v>-1007886</v>
      </c>
      <c r="AA260" s="5"/>
      <c r="AD260" s="164"/>
    </row>
    <row r="261" spans="1:30" s="1" customFormat="1" ht="6" customHeight="1">
      <c r="A261" s="38"/>
      <c r="B261" s="38"/>
      <c r="C261" s="38"/>
      <c r="D261" s="39"/>
      <c r="E261" s="40"/>
      <c r="F261" s="53"/>
      <c r="G261" s="41"/>
      <c r="H261" s="53"/>
      <c r="I261" s="42"/>
      <c r="J261" s="41"/>
      <c r="K261" s="43"/>
      <c r="L261" s="53"/>
      <c r="M261" s="42"/>
      <c r="N261" s="41"/>
      <c r="O261" s="113">
        <f t="shared" si="37"/>
        <v>0</v>
      </c>
      <c r="P261" s="53"/>
      <c r="Q261" s="42"/>
      <c r="R261" s="42"/>
      <c r="S261" s="118">
        <f t="shared" si="38"/>
        <v>0</v>
      </c>
      <c r="T261" s="53"/>
      <c r="U261" s="103"/>
      <c r="V261" s="53"/>
      <c r="W261" s="121">
        <f t="shared" si="39"/>
        <v>0</v>
      </c>
      <c r="X261" s="53"/>
      <c r="Y261" s="44"/>
      <c r="Z261" s="44"/>
      <c r="AA261" s="41"/>
      <c r="AD261" s="162"/>
    </row>
    <row r="262" spans="1:30" s="1" customFormat="1" ht="17.100000000000001" customHeight="1">
      <c r="A262" s="6" t="s">
        <v>78</v>
      </c>
      <c r="B262" s="6" t="s">
        <v>18</v>
      </c>
      <c r="C262" s="6" t="s">
        <v>58</v>
      </c>
      <c r="D262" s="18" t="s">
        <v>366</v>
      </c>
      <c r="E262" s="4"/>
      <c r="F262" s="53"/>
      <c r="G262" s="2">
        <v>387661</v>
      </c>
      <c r="H262" s="53"/>
      <c r="I262" s="10">
        <v>7100</v>
      </c>
      <c r="J262" s="2">
        <v>6365</v>
      </c>
      <c r="K262" s="58">
        <f t="shared" ref="K262:K272" si="40">SUM(I262-J262)</f>
        <v>735</v>
      </c>
      <c r="L262" s="53"/>
      <c r="M262" s="10">
        <v>87481</v>
      </c>
      <c r="N262" s="2">
        <v>79547</v>
      </c>
      <c r="O262" s="58">
        <f t="shared" si="37"/>
        <v>7934</v>
      </c>
      <c r="P262" s="53"/>
      <c r="Q262" s="2"/>
      <c r="R262" s="2"/>
      <c r="S262" s="98">
        <f t="shared" si="38"/>
        <v>0</v>
      </c>
      <c r="T262" s="53"/>
      <c r="U262" s="104"/>
      <c r="V262" s="53"/>
      <c r="W262" s="59">
        <f t="shared" si="39"/>
        <v>473573</v>
      </c>
      <c r="X262" s="53"/>
      <c r="Y262" s="8"/>
      <c r="Z262" s="8">
        <f t="shared" ref="Z262:Z273" si="41">SUM(Y262-W262)</f>
        <v>-473573</v>
      </c>
      <c r="AA262" s="2"/>
      <c r="AD262" s="162"/>
    </row>
    <row r="263" spans="1:30" s="1" customFormat="1" ht="12" customHeight="1">
      <c r="A263" s="6" t="s">
        <v>78</v>
      </c>
      <c r="B263" s="6" t="s">
        <v>361</v>
      </c>
      <c r="C263" s="6" t="s">
        <v>58</v>
      </c>
      <c r="D263" s="15" t="s">
        <v>367</v>
      </c>
      <c r="E263" s="16"/>
      <c r="F263" s="53"/>
      <c r="G263" s="2">
        <v>99323</v>
      </c>
      <c r="H263" s="53"/>
      <c r="I263" s="10">
        <v>4000</v>
      </c>
      <c r="J263" s="2">
        <v>3534</v>
      </c>
      <c r="K263" s="58">
        <f t="shared" si="40"/>
        <v>466</v>
      </c>
      <c r="L263" s="53"/>
      <c r="M263" s="10">
        <v>84377</v>
      </c>
      <c r="N263" s="2">
        <v>83651</v>
      </c>
      <c r="O263" s="58">
        <f t="shared" si="37"/>
        <v>726</v>
      </c>
      <c r="P263" s="53"/>
      <c r="Q263" s="2"/>
      <c r="R263" s="2"/>
      <c r="S263" s="98">
        <f t="shared" si="38"/>
        <v>0</v>
      </c>
      <c r="T263" s="53"/>
      <c r="U263" s="104"/>
      <c r="V263" s="53"/>
      <c r="W263" s="59">
        <f t="shared" si="39"/>
        <v>186508</v>
      </c>
      <c r="X263" s="53"/>
      <c r="Y263" s="8"/>
      <c r="Z263" s="8">
        <f t="shared" si="41"/>
        <v>-186508</v>
      </c>
      <c r="AA263" s="2"/>
      <c r="AD263" s="162"/>
    </row>
    <row r="264" spans="1:30" s="1" customFormat="1" ht="12" customHeight="1">
      <c r="A264" s="6" t="s">
        <v>78</v>
      </c>
      <c r="B264" s="6" t="s">
        <v>256</v>
      </c>
      <c r="C264" s="6" t="s">
        <v>58</v>
      </c>
      <c r="D264" s="15" t="s">
        <v>368</v>
      </c>
      <c r="E264" s="16"/>
      <c r="F264" s="53"/>
      <c r="G264" s="2">
        <v>117554</v>
      </c>
      <c r="H264" s="53"/>
      <c r="I264" s="10">
        <v>28400</v>
      </c>
      <c r="J264" s="2">
        <v>23189</v>
      </c>
      <c r="K264" s="58">
        <f t="shared" si="40"/>
        <v>5211</v>
      </c>
      <c r="L264" s="53"/>
      <c r="M264" s="10">
        <v>97200</v>
      </c>
      <c r="N264" s="2">
        <v>98172</v>
      </c>
      <c r="O264" s="58">
        <f t="shared" si="37"/>
        <v>-972</v>
      </c>
      <c r="P264" s="53"/>
      <c r="Q264" s="2"/>
      <c r="R264" s="2"/>
      <c r="S264" s="98">
        <f t="shared" si="38"/>
        <v>0</v>
      </c>
      <c r="T264" s="53"/>
      <c r="U264" s="104"/>
      <c r="V264" s="53"/>
      <c r="W264" s="59">
        <f t="shared" si="39"/>
        <v>238915</v>
      </c>
      <c r="X264" s="53"/>
      <c r="Y264" s="8"/>
      <c r="Z264" s="8">
        <f t="shared" si="41"/>
        <v>-238915</v>
      </c>
      <c r="AA264" s="2"/>
      <c r="AD264" s="162"/>
    </row>
    <row r="265" spans="1:30" s="1" customFormat="1" ht="12" customHeight="1">
      <c r="A265" s="6"/>
      <c r="B265" s="6"/>
      <c r="C265" s="6"/>
      <c r="D265" s="15" t="s">
        <v>369</v>
      </c>
      <c r="E265" s="16"/>
      <c r="F265" s="53"/>
      <c r="G265" s="2"/>
      <c r="H265" s="53"/>
      <c r="I265" s="10"/>
      <c r="J265" s="2"/>
      <c r="K265" s="58">
        <f t="shared" si="40"/>
        <v>0</v>
      </c>
      <c r="L265" s="53"/>
      <c r="M265" s="10"/>
      <c r="N265" s="2">
        <v>135</v>
      </c>
      <c r="O265" s="58">
        <f t="shared" si="37"/>
        <v>-135</v>
      </c>
      <c r="P265" s="53"/>
      <c r="Q265" s="2"/>
      <c r="R265" s="2"/>
      <c r="S265" s="98">
        <f t="shared" si="38"/>
        <v>0</v>
      </c>
      <c r="T265" s="53"/>
      <c r="U265" s="104"/>
      <c r="V265" s="53"/>
      <c r="W265" s="59">
        <f t="shared" si="39"/>
        <v>135</v>
      </c>
      <c r="X265" s="53"/>
      <c r="Y265" s="8"/>
      <c r="Z265" s="8">
        <f t="shared" si="41"/>
        <v>-135</v>
      </c>
      <c r="AA265" s="2"/>
      <c r="AD265" s="162"/>
    </row>
    <row r="266" spans="1:30" s="1" customFormat="1" ht="12" customHeight="1">
      <c r="A266" s="6"/>
      <c r="B266" s="6"/>
      <c r="C266" s="6"/>
      <c r="D266" s="15" t="s">
        <v>370</v>
      </c>
      <c r="E266" s="16"/>
      <c r="F266" s="53"/>
      <c r="G266" s="2"/>
      <c r="H266" s="53"/>
      <c r="I266" s="10"/>
      <c r="J266" s="2"/>
      <c r="K266" s="58">
        <f t="shared" si="40"/>
        <v>0</v>
      </c>
      <c r="L266" s="53"/>
      <c r="M266" s="10"/>
      <c r="N266" s="2"/>
      <c r="O266" s="58">
        <f t="shared" si="37"/>
        <v>0</v>
      </c>
      <c r="P266" s="53"/>
      <c r="Q266" s="2"/>
      <c r="R266" s="2"/>
      <c r="S266" s="98">
        <f t="shared" si="38"/>
        <v>0</v>
      </c>
      <c r="T266" s="53"/>
      <c r="U266" s="104"/>
      <c r="V266" s="53"/>
      <c r="W266" s="59">
        <f t="shared" si="39"/>
        <v>0</v>
      </c>
      <c r="X266" s="53"/>
      <c r="Y266" s="8"/>
      <c r="Z266" s="8">
        <f t="shared" si="41"/>
        <v>0</v>
      </c>
      <c r="AA266" s="2"/>
      <c r="AD266" s="162"/>
    </row>
    <row r="267" spans="1:30" s="1" customFormat="1" ht="12" customHeight="1">
      <c r="A267" s="6"/>
      <c r="B267" s="6"/>
      <c r="C267" s="6"/>
      <c r="D267" s="15" t="s">
        <v>371</v>
      </c>
      <c r="E267" s="16"/>
      <c r="F267" s="53"/>
      <c r="G267" s="2"/>
      <c r="H267" s="53"/>
      <c r="I267" s="10"/>
      <c r="J267" s="2"/>
      <c r="K267" s="58">
        <f t="shared" si="40"/>
        <v>0</v>
      </c>
      <c r="L267" s="53"/>
      <c r="M267" s="10"/>
      <c r="N267" s="2"/>
      <c r="O267" s="58">
        <f t="shared" si="37"/>
        <v>0</v>
      </c>
      <c r="P267" s="53"/>
      <c r="Q267" s="2"/>
      <c r="R267" s="2"/>
      <c r="S267" s="98">
        <f t="shared" si="38"/>
        <v>0</v>
      </c>
      <c r="T267" s="53"/>
      <c r="U267" s="104"/>
      <c r="V267" s="53"/>
      <c r="W267" s="59">
        <f t="shared" si="39"/>
        <v>0</v>
      </c>
      <c r="X267" s="53"/>
      <c r="Y267" s="8"/>
      <c r="Z267" s="8">
        <f t="shared" si="41"/>
        <v>0</v>
      </c>
      <c r="AA267" s="2"/>
      <c r="AD267" s="162"/>
    </row>
    <row r="268" spans="1:30" s="1" customFormat="1" ht="12" customHeight="1">
      <c r="A268" s="6"/>
      <c r="B268" s="6"/>
      <c r="C268" s="6"/>
      <c r="D268" s="15" t="s">
        <v>372</v>
      </c>
      <c r="E268" s="16"/>
      <c r="F268" s="53"/>
      <c r="G268" s="2"/>
      <c r="H268" s="53"/>
      <c r="I268" s="10"/>
      <c r="J268" s="2"/>
      <c r="K268" s="58">
        <f t="shared" si="40"/>
        <v>0</v>
      </c>
      <c r="L268" s="53"/>
      <c r="M268" s="10"/>
      <c r="N268" s="2">
        <v>135</v>
      </c>
      <c r="O268" s="58">
        <f t="shared" si="37"/>
        <v>-135</v>
      </c>
      <c r="P268" s="53"/>
      <c r="Q268" s="2"/>
      <c r="R268" s="2"/>
      <c r="S268" s="98">
        <f t="shared" si="38"/>
        <v>0</v>
      </c>
      <c r="T268" s="53"/>
      <c r="U268" s="104"/>
      <c r="V268" s="53"/>
      <c r="W268" s="59">
        <f t="shared" si="39"/>
        <v>135</v>
      </c>
      <c r="X268" s="53"/>
      <c r="Y268" s="8"/>
      <c r="Z268" s="8">
        <f t="shared" si="41"/>
        <v>-135</v>
      </c>
      <c r="AA268" s="2"/>
      <c r="AD268" s="162"/>
    </row>
    <row r="269" spans="1:30" s="1" customFormat="1" ht="12" customHeight="1">
      <c r="A269" s="6"/>
      <c r="B269" s="6"/>
      <c r="C269" s="6"/>
      <c r="D269" s="15" t="s">
        <v>373</v>
      </c>
      <c r="E269" s="16"/>
      <c r="F269" s="53"/>
      <c r="G269" s="2"/>
      <c r="H269" s="53"/>
      <c r="I269" s="10">
        <v>15800</v>
      </c>
      <c r="J269" s="2">
        <v>2705</v>
      </c>
      <c r="K269" s="58">
        <f t="shared" si="40"/>
        <v>13095</v>
      </c>
      <c r="L269" s="53"/>
      <c r="M269" s="10"/>
      <c r="N269" s="2">
        <v>16941</v>
      </c>
      <c r="O269" s="58">
        <f t="shared" si="37"/>
        <v>-16941</v>
      </c>
      <c r="P269" s="53"/>
      <c r="Q269" s="2"/>
      <c r="R269" s="2"/>
      <c r="S269" s="98">
        <f t="shared" si="38"/>
        <v>0</v>
      </c>
      <c r="T269" s="53"/>
      <c r="U269" s="104"/>
      <c r="V269" s="53"/>
      <c r="W269" s="59">
        <f t="shared" si="39"/>
        <v>19646</v>
      </c>
      <c r="X269" s="53"/>
      <c r="Y269" s="8"/>
      <c r="Z269" s="8">
        <f t="shared" si="41"/>
        <v>-19646</v>
      </c>
      <c r="AA269" s="2"/>
      <c r="AD269" s="162"/>
    </row>
    <row r="270" spans="1:30" s="1" customFormat="1" ht="12" customHeight="1">
      <c r="A270" s="6"/>
      <c r="B270" s="6"/>
      <c r="C270" s="6"/>
      <c r="D270" s="15" t="s">
        <v>374</v>
      </c>
      <c r="E270" s="16"/>
      <c r="F270" s="53"/>
      <c r="G270" s="2"/>
      <c r="H270" s="53"/>
      <c r="I270" s="10">
        <v>35000</v>
      </c>
      <c r="J270" s="2">
        <v>22277</v>
      </c>
      <c r="K270" s="58">
        <f t="shared" si="40"/>
        <v>12723</v>
      </c>
      <c r="L270" s="53"/>
      <c r="M270" s="10"/>
      <c r="N270" s="2">
        <v>3545</v>
      </c>
      <c r="O270" s="58">
        <f t="shared" si="37"/>
        <v>-3545</v>
      </c>
      <c r="P270" s="53"/>
      <c r="Q270" s="2"/>
      <c r="R270" s="2"/>
      <c r="S270" s="98">
        <f t="shared" si="38"/>
        <v>0</v>
      </c>
      <c r="T270" s="53"/>
      <c r="U270" s="104"/>
      <c r="V270" s="53"/>
      <c r="W270" s="59">
        <f t="shared" si="39"/>
        <v>25822</v>
      </c>
      <c r="X270" s="53"/>
      <c r="Y270" s="8"/>
      <c r="Z270" s="8">
        <f t="shared" si="41"/>
        <v>-25822</v>
      </c>
      <c r="AA270" s="2"/>
      <c r="AD270" s="162"/>
    </row>
    <row r="271" spans="1:30" s="1" customFormat="1" ht="12" customHeight="1">
      <c r="A271" s="6" t="s">
        <v>78</v>
      </c>
      <c r="B271" s="6" t="s">
        <v>78</v>
      </c>
      <c r="C271" s="6" t="s">
        <v>58</v>
      </c>
      <c r="D271" s="15" t="s">
        <v>375</v>
      </c>
      <c r="E271" s="16"/>
      <c r="F271" s="53"/>
      <c r="G271" s="2">
        <v>174070</v>
      </c>
      <c r="H271" s="53"/>
      <c r="I271" s="10"/>
      <c r="J271" s="2"/>
      <c r="K271" s="58">
        <f t="shared" si="40"/>
        <v>0</v>
      </c>
      <c r="L271" s="53"/>
      <c r="M271" s="10">
        <v>15700</v>
      </c>
      <c r="N271" s="2">
        <v>11031</v>
      </c>
      <c r="O271" s="58">
        <f t="shared" si="37"/>
        <v>4669</v>
      </c>
      <c r="P271" s="53"/>
      <c r="Q271" s="2"/>
      <c r="R271" s="2"/>
      <c r="S271" s="98">
        <f t="shared" si="38"/>
        <v>0</v>
      </c>
      <c r="T271" s="53"/>
      <c r="U271" s="104"/>
      <c r="V271" s="53"/>
      <c r="W271" s="59">
        <f t="shared" si="39"/>
        <v>185101</v>
      </c>
      <c r="X271" s="53"/>
      <c r="Y271" s="8">
        <v>84249.4</v>
      </c>
      <c r="Z271" s="8">
        <f t="shared" si="41"/>
        <v>-100851.6</v>
      </c>
      <c r="AA271" s="2"/>
      <c r="AD271" s="162"/>
    </row>
    <row r="272" spans="1:30" s="1" customFormat="1" ht="12" customHeight="1">
      <c r="A272" s="6" t="s">
        <v>78</v>
      </c>
      <c r="B272" s="6" t="s">
        <v>78</v>
      </c>
      <c r="C272" s="6" t="s">
        <v>58</v>
      </c>
      <c r="D272" s="15" t="s">
        <v>376</v>
      </c>
      <c r="E272" s="16"/>
      <c r="F272" s="53"/>
      <c r="G272" s="2">
        <v>354634</v>
      </c>
      <c r="H272" s="53"/>
      <c r="I272" s="10">
        <v>79400</v>
      </c>
      <c r="J272" s="2">
        <v>88136</v>
      </c>
      <c r="K272" s="58">
        <f t="shared" si="40"/>
        <v>-8736</v>
      </c>
      <c r="L272" s="53"/>
      <c r="M272" s="10">
        <v>437000</v>
      </c>
      <c r="N272" s="2">
        <v>421722</v>
      </c>
      <c r="O272" s="58">
        <f t="shared" si="37"/>
        <v>15278</v>
      </c>
      <c r="P272" s="53"/>
      <c r="Q272" s="2">
        <v>30000</v>
      </c>
      <c r="R272" s="2">
        <v>22070</v>
      </c>
      <c r="S272" s="98">
        <f t="shared" si="38"/>
        <v>7930</v>
      </c>
      <c r="T272" s="53"/>
      <c r="U272" s="104"/>
      <c r="V272" s="53"/>
      <c r="W272" s="59">
        <f t="shared" si="39"/>
        <v>886562</v>
      </c>
      <c r="X272" s="53"/>
      <c r="Y272" s="8"/>
      <c r="Z272" s="8">
        <f t="shared" si="41"/>
        <v>-886562</v>
      </c>
      <c r="AA272" s="2"/>
      <c r="AD272" s="162"/>
    </row>
    <row r="273" spans="1:30" s="32" customFormat="1" ht="15.9" customHeight="1">
      <c r="A273" s="19"/>
      <c r="B273" s="19"/>
      <c r="C273" s="19"/>
      <c r="D273" s="18" t="s">
        <v>377</v>
      </c>
      <c r="E273" s="4">
        <f>SUM(E262:E272)</f>
        <v>0</v>
      </c>
      <c r="F273" s="35"/>
      <c r="G273" s="5">
        <f>SUM(G262:G272)</f>
        <v>1133242</v>
      </c>
      <c r="H273" s="35"/>
      <c r="I273" s="5">
        <f>SUM(I262:I272)</f>
        <v>169700</v>
      </c>
      <c r="J273" s="5">
        <f>SUM(J262:J272)</f>
        <v>146206</v>
      </c>
      <c r="K273" s="5">
        <f>SUM(K262:K272)</f>
        <v>23494</v>
      </c>
      <c r="L273" s="35"/>
      <c r="M273" s="5">
        <f>SUM(M262:M272)</f>
        <v>721758</v>
      </c>
      <c r="N273" s="5">
        <f>SUM(N262:N272)</f>
        <v>714879</v>
      </c>
      <c r="O273" s="114">
        <f t="shared" si="37"/>
        <v>6879</v>
      </c>
      <c r="P273" s="35"/>
      <c r="Q273" s="5">
        <f>SUM(Q262:Q272)</f>
        <v>30000</v>
      </c>
      <c r="R273" s="5">
        <f>SUM(R262:R272)</f>
        <v>22070</v>
      </c>
      <c r="S273" s="120">
        <f t="shared" si="38"/>
        <v>7930</v>
      </c>
      <c r="T273" s="35"/>
      <c r="U273" s="102"/>
      <c r="V273" s="35"/>
      <c r="W273" s="122">
        <f t="shared" si="39"/>
        <v>2016397</v>
      </c>
      <c r="X273" s="35"/>
      <c r="Y273" s="5">
        <f>SUM(Y262:Y272)</f>
        <v>84249.4</v>
      </c>
      <c r="Z273" s="14">
        <f t="shared" si="41"/>
        <v>-1932147.6</v>
      </c>
      <c r="AA273" s="5"/>
      <c r="AD273" s="164"/>
    </row>
    <row r="274" spans="1:30" s="1" customFormat="1" ht="6" customHeight="1">
      <c r="A274" s="38"/>
      <c r="B274" s="38"/>
      <c r="C274" s="38"/>
      <c r="D274" s="39"/>
      <c r="E274" s="40"/>
      <c r="F274" s="53"/>
      <c r="G274" s="41"/>
      <c r="H274" s="53"/>
      <c r="I274" s="42"/>
      <c r="J274" s="41"/>
      <c r="K274" s="43"/>
      <c r="L274" s="53"/>
      <c r="M274" s="42"/>
      <c r="N274" s="41"/>
      <c r="O274" s="113">
        <f t="shared" si="37"/>
        <v>0</v>
      </c>
      <c r="P274" s="53"/>
      <c r="Q274" s="42"/>
      <c r="R274" s="42"/>
      <c r="S274" s="118">
        <f t="shared" si="38"/>
        <v>0</v>
      </c>
      <c r="T274" s="53"/>
      <c r="U274" s="103"/>
      <c r="V274" s="53"/>
      <c r="W274" s="121">
        <f t="shared" si="39"/>
        <v>0</v>
      </c>
      <c r="X274" s="53"/>
      <c r="Y274" s="44"/>
      <c r="Z274" s="44"/>
      <c r="AA274" s="41"/>
      <c r="AD274" s="162"/>
    </row>
    <row r="275" spans="1:30" s="1" customFormat="1" ht="17.100000000000001" customHeight="1">
      <c r="A275" s="6" t="s">
        <v>378</v>
      </c>
      <c r="B275" s="6" t="s">
        <v>18</v>
      </c>
      <c r="C275" s="6" t="s">
        <v>58</v>
      </c>
      <c r="D275" s="18" t="s">
        <v>379</v>
      </c>
      <c r="E275" s="4"/>
      <c r="F275" s="53"/>
      <c r="G275" s="2">
        <v>1379932</v>
      </c>
      <c r="H275" s="53"/>
      <c r="I275" s="10"/>
      <c r="J275" s="2"/>
      <c r="K275" s="58">
        <f>SUM(I275-J275)</f>
        <v>0</v>
      </c>
      <c r="L275" s="53"/>
      <c r="M275" s="10">
        <v>124486</v>
      </c>
      <c r="N275" s="2">
        <v>119350</v>
      </c>
      <c r="O275" s="58">
        <f t="shared" si="37"/>
        <v>5136</v>
      </c>
      <c r="P275" s="53"/>
      <c r="Q275" s="2"/>
      <c r="R275" s="2"/>
      <c r="S275" s="98">
        <f t="shared" si="38"/>
        <v>0</v>
      </c>
      <c r="T275" s="53"/>
      <c r="U275" s="104"/>
      <c r="V275" s="53"/>
      <c r="W275" s="59">
        <f t="shared" si="39"/>
        <v>1499282</v>
      </c>
      <c r="X275" s="53"/>
      <c r="Y275" s="8"/>
      <c r="Z275" s="8">
        <f>SUM(Y275-W275)</f>
        <v>-1499282</v>
      </c>
      <c r="AA275" s="2"/>
      <c r="AD275" s="162"/>
    </row>
    <row r="276" spans="1:30" s="1" customFormat="1" ht="17.100000000000001" customHeight="1">
      <c r="A276" s="6"/>
      <c r="B276" s="6"/>
      <c r="C276" s="6"/>
      <c r="D276" s="15" t="s">
        <v>427</v>
      </c>
      <c r="E276" s="4"/>
      <c r="F276" s="53"/>
      <c r="G276" s="2"/>
      <c r="H276" s="53"/>
      <c r="I276" s="10"/>
      <c r="J276" s="2"/>
      <c r="K276" s="58"/>
      <c r="L276" s="53"/>
      <c r="M276" s="10">
        <v>8000</v>
      </c>
      <c r="N276" s="2">
        <v>7858</v>
      </c>
      <c r="O276" s="58">
        <f t="shared" si="37"/>
        <v>142</v>
      </c>
      <c r="P276" s="53"/>
      <c r="Q276" s="2"/>
      <c r="R276" s="2"/>
      <c r="S276" s="98"/>
      <c r="T276" s="53"/>
      <c r="U276" s="104"/>
      <c r="V276" s="53"/>
      <c r="W276" s="59">
        <f t="shared" si="39"/>
        <v>7858</v>
      </c>
      <c r="X276" s="53"/>
      <c r="Y276" s="8"/>
      <c r="Z276" s="8">
        <f>SUM(Y276-W276)</f>
        <v>-7858</v>
      </c>
      <c r="AA276" s="2"/>
      <c r="AD276" s="162"/>
    </row>
    <row r="277" spans="1:30" s="1" customFormat="1" ht="12" customHeight="1">
      <c r="A277" s="17" t="s">
        <v>256</v>
      </c>
      <c r="B277" s="6" t="s">
        <v>361</v>
      </c>
      <c r="C277" s="6" t="s">
        <v>58</v>
      </c>
      <c r="D277" s="15" t="s">
        <v>380</v>
      </c>
      <c r="E277" s="16"/>
      <c r="F277" s="53"/>
      <c r="G277" s="2">
        <v>340121</v>
      </c>
      <c r="H277" s="53"/>
      <c r="I277" s="10">
        <v>20000</v>
      </c>
      <c r="J277" s="2">
        <v>19713</v>
      </c>
      <c r="K277" s="58">
        <f>SUM(I277-J277)</f>
        <v>287</v>
      </c>
      <c r="L277" s="53"/>
      <c r="M277" s="10">
        <v>23227</v>
      </c>
      <c r="N277" s="2">
        <v>18311</v>
      </c>
      <c r="O277" s="58">
        <f t="shared" si="37"/>
        <v>4916</v>
      </c>
      <c r="P277" s="53"/>
      <c r="Q277" s="2"/>
      <c r="R277" s="2"/>
      <c r="S277" s="98">
        <f>Q277-R277</f>
        <v>0</v>
      </c>
      <c r="T277" s="53"/>
      <c r="U277" s="104"/>
      <c r="V277" s="53"/>
      <c r="W277" s="59">
        <f t="shared" si="39"/>
        <v>378145</v>
      </c>
      <c r="X277" s="53"/>
      <c r="Y277" s="8"/>
      <c r="Z277" s="8">
        <f>SUM(Y277-W277)</f>
        <v>-378145</v>
      </c>
      <c r="AA277" s="2"/>
      <c r="AD277" s="162"/>
    </row>
    <row r="278" spans="1:30" s="32" customFormat="1" ht="15.9" customHeight="1">
      <c r="A278" s="19"/>
      <c r="B278" s="19"/>
      <c r="C278" s="19"/>
      <c r="D278" s="18" t="s">
        <v>381</v>
      </c>
      <c r="E278" s="4">
        <f>SUM(E275:E277)</f>
        <v>0</v>
      </c>
      <c r="F278" s="35"/>
      <c r="G278" s="5">
        <f>SUM(G275:G277)</f>
        <v>1720053</v>
      </c>
      <c r="H278" s="35"/>
      <c r="I278" s="5">
        <f>SUM(I275:I277)</f>
        <v>20000</v>
      </c>
      <c r="J278" s="5">
        <f>SUM(J275:J277)</f>
        <v>19713</v>
      </c>
      <c r="K278" s="5">
        <f>SUM(K275:K277)</f>
        <v>287</v>
      </c>
      <c r="L278" s="35"/>
      <c r="M278" s="5">
        <f>SUM(M275:M277)</f>
        <v>155713</v>
      </c>
      <c r="N278" s="5">
        <f>SUM(N275:N277)</f>
        <v>145519</v>
      </c>
      <c r="O278" s="114">
        <f t="shared" si="37"/>
        <v>10194</v>
      </c>
      <c r="P278" s="35"/>
      <c r="Q278" s="5"/>
      <c r="R278" s="5"/>
      <c r="S278" s="98">
        <f>Q278-R278</f>
        <v>0</v>
      </c>
      <c r="T278" s="35"/>
      <c r="U278" s="102"/>
      <c r="V278" s="35"/>
      <c r="W278" s="122">
        <f t="shared" si="39"/>
        <v>1885285</v>
      </c>
      <c r="X278" s="35"/>
      <c r="Y278" s="5"/>
      <c r="Z278" s="14">
        <f>SUM(Y278-W278)</f>
        <v>-1885285</v>
      </c>
      <c r="AA278" s="5"/>
      <c r="AD278" s="164"/>
    </row>
    <row r="279" spans="1:30" s="1" customFormat="1" ht="6" customHeight="1">
      <c r="A279" s="38"/>
      <c r="B279" s="38"/>
      <c r="C279" s="38"/>
      <c r="D279" s="39"/>
      <c r="E279" s="40"/>
      <c r="F279" s="53"/>
      <c r="G279" s="41"/>
      <c r="H279" s="53"/>
      <c r="I279" s="42"/>
      <c r="J279" s="41"/>
      <c r="K279" s="43"/>
      <c r="L279" s="53"/>
      <c r="M279" s="42"/>
      <c r="N279" s="41"/>
      <c r="O279" s="113">
        <f t="shared" si="37"/>
        <v>0</v>
      </c>
      <c r="P279" s="53"/>
      <c r="Q279" s="42"/>
      <c r="R279" s="42"/>
      <c r="S279" s="118">
        <f>Q279-R279</f>
        <v>0</v>
      </c>
      <c r="T279" s="53"/>
      <c r="U279" s="103"/>
      <c r="V279" s="53"/>
      <c r="W279" s="123">
        <f t="shared" si="39"/>
        <v>0</v>
      </c>
      <c r="X279" s="53"/>
      <c r="Y279" s="44"/>
      <c r="Z279" s="44"/>
      <c r="AA279" s="41"/>
      <c r="AD279" s="162"/>
    </row>
    <row r="280" spans="1:30" s="32" customFormat="1" ht="15.9" customHeight="1">
      <c r="A280" s="19" t="s">
        <v>66</v>
      </c>
      <c r="B280" s="19" t="s">
        <v>18</v>
      </c>
      <c r="C280" s="19" t="s">
        <v>58</v>
      </c>
      <c r="D280" s="26" t="s">
        <v>382</v>
      </c>
      <c r="E280" s="4"/>
      <c r="F280" s="35"/>
      <c r="G280" s="5">
        <v>732248</v>
      </c>
      <c r="H280" s="35"/>
      <c r="I280" s="22">
        <v>80050</v>
      </c>
      <c r="J280" s="5">
        <v>77218</v>
      </c>
      <c r="K280" s="58">
        <f>SUM(I280-J280)</f>
        <v>2832</v>
      </c>
      <c r="L280" s="35"/>
      <c r="M280" s="22">
        <v>225842</v>
      </c>
      <c r="N280" s="5">
        <v>218391</v>
      </c>
      <c r="O280" s="114">
        <f t="shared" si="37"/>
        <v>7451</v>
      </c>
      <c r="P280" s="35"/>
      <c r="Q280" s="5"/>
      <c r="R280" s="5"/>
      <c r="S280" s="98">
        <f>Q280-R280</f>
        <v>0</v>
      </c>
      <c r="T280" s="35"/>
      <c r="U280" s="102"/>
      <c r="V280" s="35"/>
      <c r="W280" s="122">
        <f t="shared" si="39"/>
        <v>1027857</v>
      </c>
      <c r="X280" s="35"/>
      <c r="Y280" s="14"/>
      <c r="Z280" s="14">
        <f>SUM(Y280-W280)</f>
        <v>-1027857</v>
      </c>
      <c r="AA280" s="5"/>
      <c r="AD280" s="164"/>
    </row>
    <row r="281" spans="1:30" s="1" customFormat="1" ht="6" customHeight="1">
      <c r="A281" s="38"/>
      <c r="B281" s="38"/>
      <c r="C281" s="38"/>
      <c r="D281" s="39"/>
      <c r="E281" s="40"/>
      <c r="F281" s="53"/>
      <c r="G281" s="41"/>
      <c r="H281" s="53"/>
      <c r="I281" s="42"/>
      <c r="J281" s="41"/>
      <c r="K281" s="43"/>
      <c r="L281" s="53"/>
      <c r="M281" s="42"/>
      <c r="N281" s="41"/>
      <c r="O281" s="115">
        <f t="shared" si="37"/>
        <v>0</v>
      </c>
      <c r="P281" s="53"/>
      <c r="Q281" s="42"/>
      <c r="R281" s="42"/>
      <c r="S281" s="118">
        <f>Q281-R281</f>
        <v>0</v>
      </c>
      <c r="T281" s="53"/>
      <c r="U281" s="103"/>
      <c r="V281" s="53"/>
      <c r="W281" s="123">
        <f t="shared" si="39"/>
        <v>0</v>
      </c>
      <c r="X281" s="53"/>
      <c r="Y281" s="44"/>
      <c r="Z281" s="45"/>
      <c r="AA281" s="41"/>
      <c r="AD281" s="162"/>
    </row>
    <row r="282" spans="1:30" s="32" customFormat="1" ht="15.9" customHeight="1">
      <c r="A282" s="19"/>
      <c r="B282" s="19"/>
      <c r="C282" s="19"/>
      <c r="D282" s="90" t="s">
        <v>383</v>
      </c>
      <c r="E282" s="4" t="e">
        <f>SUM(#REF!+E260+E273+E278+E280+#REF!)</f>
        <v>#REF!</v>
      </c>
      <c r="F282" s="35"/>
      <c r="G282" s="5">
        <f>SUM(G249:G254)+G260+G273+G278+G280</f>
        <v>5326233</v>
      </c>
      <c r="H282" s="35"/>
      <c r="I282" s="5">
        <f>SUM(I249:I254)+I260+I273+I278+I280</f>
        <v>583050</v>
      </c>
      <c r="J282" s="5">
        <f>SUM(J249:J254)+J260+J273+J278+J280</f>
        <v>567943</v>
      </c>
      <c r="K282" s="5">
        <f>SUM(K249:K254)+K260+K273+K278+K280</f>
        <v>15107</v>
      </c>
      <c r="L282" s="35"/>
      <c r="M282" s="5">
        <f>SUM(M249:M254)+M260+M273+M278+M280</f>
        <v>2690313</v>
      </c>
      <c r="N282" s="5">
        <f>SUM(N249:N254)+N260+N273+N278+N280</f>
        <v>1674878</v>
      </c>
      <c r="O282" s="5">
        <f>SUM(O249:O254)+O260+O273+O278+O280</f>
        <v>1015435</v>
      </c>
      <c r="P282" s="35"/>
      <c r="Q282" s="5">
        <f>SUM(Q249:Q254)+Q260+Q273+Q278+Q280</f>
        <v>30000</v>
      </c>
      <c r="R282" s="5">
        <f>SUM(R249:R254)+R260+R273+R278+R280</f>
        <v>22070</v>
      </c>
      <c r="S282" s="5">
        <f>SUM(S249:S254)+S260+S273+S278+S280</f>
        <v>7930</v>
      </c>
      <c r="T282" s="35"/>
      <c r="U282" s="5">
        <f>SUM(U249:U254)+U260+U273+U278+U280</f>
        <v>0</v>
      </c>
      <c r="V282" s="35"/>
      <c r="W282" s="5">
        <f>SUM(W249:W254)+W260+W273+W278+W280</f>
        <v>7591124</v>
      </c>
      <c r="X282" s="35"/>
      <c r="Y282" s="5">
        <f>SUM(Y249:Y254)+Y260+Y273+Y278+Y280</f>
        <v>84249.4</v>
      </c>
      <c r="Z282" s="5">
        <f>SUM(Z249:Z254)+Z260+Z273+Z278+Z280</f>
        <v>-7506874.5999999996</v>
      </c>
      <c r="AA282" s="5">
        <f>SUM(AA249:AA254)+AA260+AA273+AA278+AA280</f>
        <v>0</v>
      </c>
      <c r="AD282" s="164"/>
    </row>
    <row r="283" spans="1:30" s="1" customFormat="1" ht="9" customHeight="1">
      <c r="A283" s="24"/>
      <c r="B283" s="24"/>
      <c r="C283" s="24"/>
      <c r="D283" s="5"/>
      <c r="E283" s="3"/>
      <c r="F283" s="53"/>
      <c r="G283" s="2"/>
      <c r="H283" s="53"/>
      <c r="I283" s="2"/>
      <c r="J283" s="2"/>
      <c r="K283" s="58">
        <f>SUM(I283-J283)</f>
        <v>0</v>
      </c>
      <c r="L283" s="53"/>
      <c r="M283" s="2"/>
      <c r="N283" s="2"/>
      <c r="O283" s="58">
        <f>SUM(M283-N283)</f>
        <v>0</v>
      </c>
      <c r="P283" s="53"/>
      <c r="Q283" s="2"/>
      <c r="R283" s="2"/>
      <c r="S283" s="98">
        <f>Q283-R283</f>
        <v>0</v>
      </c>
      <c r="T283" s="53"/>
      <c r="U283" s="104"/>
      <c r="V283" s="53"/>
      <c r="W283" s="59">
        <f>SUM(G283+J283+U283+N283+R283)</f>
        <v>0</v>
      </c>
      <c r="X283" s="53"/>
      <c r="Y283" s="8"/>
      <c r="Z283" s="8"/>
      <c r="AA283" s="2"/>
      <c r="AD283" s="162"/>
    </row>
    <row r="284" spans="1:30" s="87" customFormat="1" ht="19.5" customHeight="1">
      <c r="A284" s="85"/>
      <c r="B284" s="85"/>
      <c r="C284" s="85"/>
      <c r="D284" s="89" t="s">
        <v>384</v>
      </c>
      <c r="E284" s="86" t="e">
        <f>SUM(E247+E282)</f>
        <v>#REF!</v>
      </c>
      <c r="F284" s="35"/>
      <c r="G284" s="86">
        <f>SUM(G247+G282)</f>
        <v>38428944</v>
      </c>
      <c r="H284" s="35"/>
      <c r="I284" s="86">
        <f>SUM(I247+I282)</f>
        <v>4067122</v>
      </c>
      <c r="J284" s="86">
        <f>SUM(J247+J282)</f>
        <v>4025988</v>
      </c>
      <c r="K284" s="86">
        <f>SUM(K247+K282)</f>
        <v>41134</v>
      </c>
      <c r="L284" s="35"/>
      <c r="M284" s="86">
        <f>SUM(M247+M282)</f>
        <v>13603099</v>
      </c>
      <c r="N284" s="86">
        <f>SUM(N247+N282)</f>
        <v>12614443</v>
      </c>
      <c r="O284" s="115">
        <f>SUM(M284-N284)</f>
        <v>988656</v>
      </c>
      <c r="P284" s="35"/>
      <c r="Q284" s="86">
        <f>SUM(Q247+Q282)</f>
        <v>2531956</v>
      </c>
      <c r="R284" s="86">
        <f>SUM(R247+R282)</f>
        <v>2399343</v>
      </c>
      <c r="S284" s="119">
        <f>Q284-R284</f>
        <v>132613</v>
      </c>
      <c r="T284" s="35"/>
      <c r="U284" s="86">
        <f>SUM(U247+U282)</f>
        <v>1441791</v>
      </c>
      <c r="V284" s="35"/>
      <c r="W284" s="123">
        <f>SUM(G284+J284+U284+N284+R284)</f>
        <v>58910509</v>
      </c>
      <c r="X284" s="35"/>
      <c r="Y284" s="86">
        <f>SUM(Y247+Y282)</f>
        <v>31445427.720000003</v>
      </c>
      <c r="Z284" s="86">
        <f>SUM(Z247+Z282)</f>
        <v>-27465081.280000001</v>
      </c>
      <c r="AA284" s="86">
        <f>SUM(AA247+AA282)</f>
        <v>18219295</v>
      </c>
      <c r="AD284" s="165"/>
    </row>
    <row r="285" spans="1:30">
      <c r="F285" s="51"/>
      <c r="H285" s="51"/>
      <c r="L285" s="51"/>
      <c r="P285" s="51"/>
      <c r="T285" s="51"/>
      <c r="V285" s="51"/>
      <c r="X285" s="51"/>
      <c r="Y285" s="30">
        <v>75000</v>
      </c>
    </row>
    <row r="286" spans="1:30">
      <c r="F286" s="51"/>
      <c r="H286" s="51"/>
      <c r="L286" s="51"/>
      <c r="P286" s="51"/>
      <c r="T286" s="51"/>
      <c r="V286" s="51"/>
      <c r="X286" s="51"/>
      <c r="Y286" s="30">
        <v>110418.03</v>
      </c>
    </row>
    <row r="287" spans="1:30">
      <c r="F287" s="51"/>
      <c r="H287" s="51"/>
      <c r="L287" s="51"/>
      <c r="P287" s="51"/>
      <c r="T287" s="51"/>
      <c r="V287" s="51"/>
      <c r="X287" s="51"/>
      <c r="Y287" s="30">
        <v>443738.76</v>
      </c>
    </row>
    <row r="288" spans="1:30">
      <c r="F288" s="51"/>
      <c r="H288" s="51"/>
      <c r="L288" s="51"/>
      <c r="P288" s="51"/>
      <c r="T288" s="51"/>
      <c r="V288" s="51"/>
      <c r="X288" s="51"/>
      <c r="Y288" s="30">
        <f>SUM(Y284:Y287)</f>
        <v>32074584.510000005</v>
      </c>
    </row>
    <row r="289" spans="6:24">
      <c r="F289" s="51"/>
      <c r="H289" s="51"/>
      <c r="L289" s="51"/>
      <c r="P289" s="51"/>
      <c r="T289" s="51"/>
      <c r="V289" s="51"/>
      <c r="X289" s="51"/>
    </row>
    <row r="290" spans="6:24">
      <c r="F290" s="51"/>
      <c r="H290" s="51"/>
      <c r="L290" s="51"/>
      <c r="P290" s="51"/>
      <c r="T290" s="51"/>
      <c r="V290" s="51"/>
      <c r="X290" s="51"/>
    </row>
    <row r="291" spans="6:24">
      <c r="F291" s="51"/>
      <c r="H291" s="51"/>
      <c r="L291" s="51"/>
      <c r="P291" s="51"/>
      <c r="T291" s="51"/>
      <c r="V291" s="51"/>
      <c r="X291" s="51"/>
    </row>
    <row r="292" spans="6:24">
      <c r="F292" s="51"/>
      <c r="H292" s="51"/>
      <c r="L292" s="51"/>
      <c r="P292" s="51"/>
      <c r="T292" s="51"/>
      <c r="V292" s="51"/>
      <c r="X292" s="51"/>
    </row>
    <row r="293" spans="6:24">
      <c r="F293" s="51"/>
      <c r="H293" s="51"/>
      <c r="L293" s="51"/>
      <c r="P293" s="51"/>
      <c r="T293" s="51"/>
      <c r="V293" s="51"/>
      <c r="X293" s="51"/>
    </row>
    <row r="294" spans="6:24">
      <c r="F294" s="51"/>
      <c r="H294" s="51"/>
      <c r="L294" s="51"/>
      <c r="P294" s="51"/>
      <c r="T294" s="51"/>
      <c r="V294" s="51"/>
      <c r="X294" s="51"/>
    </row>
    <row r="295" spans="6:24">
      <c r="F295" s="51"/>
      <c r="H295" s="51"/>
      <c r="L295" s="51"/>
      <c r="P295" s="51"/>
      <c r="T295" s="51"/>
      <c r="V295" s="51"/>
      <c r="X295" s="51"/>
    </row>
    <row r="296" spans="6:24">
      <c r="F296" s="51"/>
      <c r="H296" s="51"/>
      <c r="L296" s="51"/>
      <c r="P296" s="51"/>
      <c r="T296" s="51"/>
      <c r="V296" s="51"/>
      <c r="X296" s="51"/>
    </row>
    <row r="297" spans="6:24">
      <c r="F297" s="51"/>
      <c r="H297" s="51"/>
      <c r="L297" s="51"/>
      <c r="P297" s="51"/>
      <c r="T297" s="51"/>
      <c r="V297" s="51"/>
      <c r="X297" s="51"/>
    </row>
    <row r="298" spans="6:24">
      <c r="F298" s="51"/>
      <c r="H298" s="51"/>
      <c r="L298" s="51"/>
      <c r="P298" s="51"/>
      <c r="T298" s="51"/>
      <c r="V298" s="51"/>
      <c r="X298" s="51"/>
    </row>
    <row r="299" spans="6:24">
      <c r="F299" s="51"/>
      <c r="H299" s="51"/>
      <c r="L299" s="51"/>
      <c r="P299" s="51"/>
      <c r="T299" s="51"/>
      <c r="V299" s="51"/>
      <c r="X299" s="51"/>
    </row>
    <row r="300" spans="6:24">
      <c r="F300" s="51"/>
      <c r="H300" s="51"/>
      <c r="L300" s="51"/>
      <c r="P300" s="51"/>
      <c r="T300" s="51"/>
      <c r="V300" s="51"/>
      <c r="X300" s="51"/>
    </row>
    <row r="301" spans="6:24">
      <c r="F301" s="51"/>
      <c r="H301" s="51"/>
      <c r="L301" s="51"/>
      <c r="P301" s="51"/>
      <c r="T301" s="51"/>
      <c r="V301" s="51"/>
      <c r="X301" s="51"/>
    </row>
    <row r="302" spans="6:24">
      <c r="F302" s="51"/>
      <c r="H302" s="51"/>
      <c r="L302" s="51"/>
      <c r="P302" s="51"/>
      <c r="T302" s="51"/>
      <c r="V302" s="51"/>
      <c r="X302" s="51"/>
    </row>
    <row r="303" spans="6:24">
      <c r="F303" s="51"/>
      <c r="H303" s="51"/>
      <c r="L303" s="51"/>
      <c r="P303" s="51"/>
      <c r="T303" s="51"/>
      <c r="V303" s="51"/>
      <c r="X303" s="51"/>
    </row>
    <row r="304" spans="6:24">
      <c r="F304" s="51"/>
      <c r="H304" s="51"/>
      <c r="L304" s="51"/>
      <c r="P304" s="51"/>
      <c r="T304" s="51"/>
      <c r="V304" s="51"/>
      <c r="X304" s="51"/>
    </row>
    <row r="305" spans="6:24">
      <c r="F305" s="51"/>
      <c r="H305" s="51"/>
      <c r="L305" s="51"/>
      <c r="P305" s="51"/>
      <c r="T305" s="51"/>
      <c r="V305" s="51"/>
      <c r="X305" s="51"/>
    </row>
    <row r="306" spans="6:24">
      <c r="F306" s="51"/>
      <c r="H306" s="51"/>
      <c r="L306" s="51"/>
      <c r="P306" s="51"/>
      <c r="T306" s="51"/>
      <c r="V306" s="51"/>
      <c r="X306" s="51"/>
    </row>
    <row r="307" spans="6:24">
      <c r="F307" s="51"/>
      <c r="H307" s="51"/>
      <c r="L307" s="51"/>
      <c r="P307" s="51"/>
      <c r="T307" s="51"/>
      <c r="V307" s="51"/>
      <c r="X307" s="51"/>
    </row>
    <row r="308" spans="6:24">
      <c r="F308" s="51"/>
      <c r="H308" s="51"/>
      <c r="L308" s="51"/>
      <c r="P308" s="51"/>
      <c r="T308" s="51"/>
      <c r="V308" s="51"/>
      <c r="X308" s="51"/>
    </row>
    <row r="309" spans="6:24">
      <c r="F309" s="51"/>
      <c r="H309" s="51"/>
      <c r="L309" s="51"/>
      <c r="P309" s="51"/>
      <c r="T309" s="51"/>
      <c r="V309" s="51"/>
      <c r="X309" s="51"/>
    </row>
    <row r="310" spans="6:24">
      <c r="F310" s="51"/>
      <c r="H310" s="51"/>
      <c r="L310" s="51"/>
      <c r="P310" s="51"/>
      <c r="T310" s="51"/>
      <c r="V310" s="51"/>
      <c r="X310" s="51"/>
    </row>
    <row r="311" spans="6:24">
      <c r="F311" s="51"/>
      <c r="H311" s="51"/>
      <c r="L311" s="51"/>
      <c r="P311" s="51"/>
      <c r="T311" s="51"/>
      <c r="V311" s="51"/>
      <c r="X311" s="51"/>
    </row>
    <row r="312" spans="6:24">
      <c r="F312" s="51"/>
      <c r="H312" s="51"/>
      <c r="L312" s="51"/>
      <c r="P312" s="51"/>
      <c r="T312" s="51"/>
      <c r="V312" s="51"/>
      <c r="X312" s="51"/>
    </row>
    <row r="313" spans="6:24">
      <c r="F313" s="51"/>
      <c r="H313" s="51"/>
      <c r="L313" s="51"/>
      <c r="P313" s="51"/>
      <c r="T313" s="51"/>
      <c r="V313" s="51"/>
      <c r="X313" s="51"/>
    </row>
    <row r="314" spans="6:24">
      <c r="F314" s="51"/>
      <c r="H314" s="51"/>
      <c r="L314" s="51"/>
      <c r="P314" s="51"/>
      <c r="T314" s="51"/>
      <c r="V314" s="51"/>
      <c r="X314" s="51"/>
    </row>
    <row r="315" spans="6:24">
      <c r="F315" s="51"/>
      <c r="H315" s="51"/>
      <c r="L315" s="51"/>
      <c r="P315" s="51"/>
      <c r="T315" s="51"/>
      <c r="V315" s="51"/>
      <c r="X315" s="51"/>
    </row>
    <row r="316" spans="6:24">
      <c r="F316" s="51"/>
      <c r="H316" s="51"/>
      <c r="L316" s="51"/>
      <c r="P316" s="51"/>
      <c r="T316" s="51"/>
      <c r="V316" s="51"/>
      <c r="X316" s="51"/>
    </row>
    <row r="317" spans="6:24">
      <c r="F317" s="51"/>
      <c r="H317" s="51"/>
      <c r="L317" s="51"/>
      <c r="P317" s="51"/>
      <c r="T317" s="51"/>
      <c r="V317" s="51"/>
      <c r="X317" s="51"/>
    </row>
    <row r="318" spans="6:24">
      <c r="F318" s="51"/>
      <c r="H318" s="51"/>
      <c r="L318" s="51"/>
      <c r="P318" s="51"/>
      <c r="T318" s="51"/>
      <c r="V318" s="51"/>
      <c r="X318" s="51"/>
    </row>
    <row r="319" spans="6:24">
      <c r="F319" s="51"/>
      <c r="H319" s="51"/>
      <c r="L319" s="51"/>
      <c r="P319" s="51"/>
      <c r="T319" s="51"/>
      <c r="V319" s="51"/>
      <c r="X319" s="51"/>
    </row>
    <row r="320" spans="6:24">
      <c r="F320" s="51"/>
      <c r="H320" s="51"/>
      <c r="L320" s="51"/>
      <c r="P320" s="51"/>
      <c r="T320" s="51"/>
      <c r="V320" s="51"/>
      <c r="X320" s="51"/>
    </row>
    <row r="321" spans="6:24">
      <c r="F321" s="51"/>
      <c r="H321" s="51"/>
      <c r="L321" s="51"/>
      <c r="P321" s="51"/>
      <c r="T321" s="51"/>
      <c r="V321" s="51"/>
      <c r="X321" s="51"/>
    </row>
    <row r="322" spans="6:24">
      <c r="F322" s="51"/>
      <c r="H322" s="51"/>
      <c r="L322" s="51"/>
      <c r="P322" s="51"/>
      <c r="T322" s="51"/>
      <c r="V322" s="51"/>
      <c r="X322" s="51"/>
    </row>
    <row r="323" spans="6:24">
      <c r="F323" s="51"/>
      <c r="H323" s="51"/>
      <c r="L323" s="51"/>
      <c r="P323" s="51"/>
      <c r="T323" s="51"/>
      <c r="V323" s="51"/>
      <c r="X323" s="51"/>
    </row>
    <row r="324" spans="6:24">
      <c r="F324" s="51"/>
      <c r="H324" s="51"/>
      <c r="L324" s="51"/>
      <c r="P324" s="51"/>
      <c r="T324" s="51"/>
      <c r="V324" s="51"/>
      <c r="X324" s="51"/>
    </row>
    <row r="325" spans="6:24">
      <c r="F325" s="51"/>
      <c r="H325" s="51"/>
      <c r="L325" s="51"/>
      <c r="P325" s="51"/>
      <c r="T325" s="51"/>
      <c r="V325" s="51"/>
      <c r="X325" s="51"/>
    </row>
    <row r="326" spans="6:24">
      <c r="F326" s="51"/>
      <c r="H326" s="51"/>
      <c r="L326" s="51"/>
      <c r="P326" s="51"/>
      <c r="T326" s="51"/>
      <c r="V326" s="51"/>
      <c r="X326" s="51"/>
    </row>
    <row r="327" spans="6:24">
      <c r="F327" s="51"/>
      <c r="H327" s="51"/>
      <c r="L327" s="51"/>
      <c r="P327" s="51"/>
      <c r="T327" s="51"/>
      <c r="V327" s="51"/>
      <c r="X327" s="51"/>
    </row>
    <row r="328" spans="6:24">
      <c r="F328" s="51"/>
      <c r="H328" s="51"/>
      <c r="L328" s="51"/>
      <c r="P328" s="51"/>
      <c r="T328" s="51"/>
      <c r="V328" s="51"/>
      <c r="X328" s="51"/>
    </row>
    <row r="329" spans="6:24">
      <c r="F329" s="51"/>
      <c r="H329" s="51"/>
      <c r="L329" s="51"/>
      <c r="P329" s="51"/>
      <c r="T329" s="51"/>
      <c r="V329" s="51"/>
      <c r="X329" s="51"/>
    </row>
    <row r="330" spans="6:24">
      <c r="F330" s="51"/>
      <c r="H330" s="51"/>
      <c r="L330" s="51"/>
      <c r="P330" s="51"/>
      <c r="T330" s="51"/>
      <c r="V330" s="51"/>
      <c r="X330" s="51"/>
    </row>
    <row r="331" spans="6:24">
      <c r="F331" s="51"/>
      <c r="H331" s="51"/>
      <c r="L331" s="51"/>
      <c r="P331" s="51"/>
      <c r="T331" s="51"/>
      <c r="V331" s="51"/>
      <c r="X331" s="51"/>
    </row>
    <row r="332" spans="6:24">
      <c r="F332" s="51"/>
      <c r="H332" s="51"/>
      <c r="L332" s="51"/>
      <c r="P332" s="51"/>
      <c r="T332" s="51"/>
      <c r="V332" s="51"/>
      <c r="X332" s="51"/>
    </row>
    <row r="333" spans="6:24">
      <c r="F333" s="51"/>
      <c r="H333" s="51"/>
      <c r="L333" s="51"/>
      <c r="P333" s="51"/>
      <c r="T333" s="51"/>
      <c r="V333" s="51"/>
      <c r="X333" s="51"/>
    </row>
    <row r="334" spans="6:24">
      <c r="F334" s="51"/>
      <c r="H334" s="51"/>
      <c r="L334" s="51"/>
      <c r="P334" s="51"/>
      <c r="T334" s="51"/>
      <c r="V334" s="51"/>
      <c r="X334" s="51"/>
    </row>
    <row r="335" spans="6:24">
      <c r="F335" s="51"/>
      <c r="H335" s="51"/>
      <c r="L335" s="51"/>
      <c r="P335" s="51"/>
      <c r="T335" s="51"/>
      <c r="V335" s="51"/>
      <c r="X335" s="51"/>
    </row>
    <row r="336" spans="6:24">
      <c r="F336" s="51"/>
      <c r="H336" s="51"/>
      <c r="L336" s="51"/>
      <c r="P336" s="51"/>
      <c r="T336" s="51"/>
      <c r="V336" s="51"/>
      <c r="X336" s="51"/>
    </row>
    <row r="337" spans="6:24">
      <c r="F337" s="51"/>
      <c r="H337" s="51"/>
      <c r="L337" s="51"/>
      <c r="P337" s="51"/>
      <c r="T337" s="51"/>
      <c r="V337" s="51"/>
      <c r="X337" s="51"/>
    </row>
    <row r="338" spans="6:24">
      <c r="F338" s="51"/>
      <c r="H338" s="51"/>
      <c r="L338" s="51"/>
      <c r="P338" s="51"/>
      <c r="T338" s="51"/>
      <c r="V338" s="51"/>
      <c r="X338" s="51"/>
    </row>
    <row r="339" spans="6:24">
      <c r="F339" s="51"/>
      <c r="H339" s="51"/>
      <c r="L339" s="51"/>
      <c r="P339" s="51"/>
      <c r="T339" s="51"/>
      <c r="V339" s="51"/>
      <c r="X339" s="51"/>
    </row>
    <row r="340" spans="6:24">
      <c r="F340" s="51"/>
      <c r="H340" s="51"/>
      <c r="L340" s="51"/>
      <c r="P340" s="51"/>
      <c r="T340" s="51"/>
      <c r="V340" s="51"/>
      <c r="X340" s="51"/>
    </row>
    <row r="341" spans="6:24">
      <c r="F341" s="51"/>
      <c r="H341" s="51"/>
      <c r="L341" s="51"/>
      <c r="P341" s="51"/>
      <c r="T341" s="51"/>
      <c r="V341" s="51"/>
      <c r="X341" s="51"/>
    </row>
    <row r="342" spans="6:24">
      <c r="F342" s="51"/>
      <c r="H342" s="51"/>
      <c r="L342" s="51"/>
      <c r="P342" s="51"/>
      <c r="T342" s="51"/>
      <c r="V342" s="51"/>
      <c r="X342" s="51"/>
    </row>
    <row r="343" spans="6:24">
      <c r="F343" s="51"/>
      <c r="H343" s="51"/>
      <c r="L343" s="51"/>
      <c r="P343" s="51"/>
      <c r="T343" s="51"/>
      <c r="V343" s="51"/>
      <c r="X343" s="51"/>
    </row>
    <row r="344" spans="6:24">
      <c r="F344" s="51"/>
      <c r="H344" s="51"/>
      <c r="L344" s="51"/>
      <c r="P344" s="51"/>
      <c r="T344" s="51"/>
      <c r="V344" s="51"/>
      <c r="X344" s="51"/>
    </row>
    <row r="345" spans="6:24">
      <c r="F345" s="51"/>
      <c r="H345" s="51"/>
      <c r="L345" s="51"/>
      <c r="P345" s="51"/>
      <c r="T345" s="51"/>
      <c r="V345" s="51"/>
      <c r="X345" s="51"/>
    </row>
    <row r="346" spans="6:24">
      <c r="F346" s="51"/>
      <c r="H346" s="51"/>
      <c r="L346" s="51"/>
      <c r="P346" s="51"/>
      <c r="T346" s="51"/>
      <c r="V346" s="51"/>
      <c r="X346" s="51"/>
    </row>
    <row r="347" spans="6:24">
      <c r="F347" s="51"/>
      <c r="H347" s="51"/>
      <c r="L347" s="51"/>
      <c r="P347" s="51"/>
      <c r="T347" s="51"/>
      <c r="V347" s="51"/>
      <c r="X347" s="51"/>
    </row>
    <row r="348" spans="6:24">
      <c r="F348" s="51"/>
      <c r="H348" s="51"/>
      <c r="L348" s="51"/>
      <c r="P348" s="51"/>
      <c r="T348" s="51"/>
      <c r="V348" s="51"/>
      <c r="X348" s="51"/>
    </row>
    <row r="349" spans="6:24">
      <c r="F349" s="51"/>
      <c r="H349" s="51"/>
      <c r="L349" s="51"/>
      <c r="P349" s="51"/>
      <c r="T349" s="51"/>
      <c r="V349" s="51"/>
      <c r="X349" s="51"/>
    </row>
    <row r="350" spans="6:24">
      <c r="F350" s="51"/>
      <c r="H350" s="51"/>
      <c r="L350" s="51"/>
      <c r="P350" s="51"/>
      <c r="T350" s="51"/>
      <c r="V350" s="51"/>
      <c r="X350" s="51"/>
    </row>
    <row r="351" spans="6:24">
      <c r="F351" s="51"/>
      <c r="H351" s="51"/>
      <c r="L351" s="51"/>
      <c r="P351" s="51"/>
      <c r="T351" s="51"/>
      <c r="V351" s="51"/>
      <c r="X351" s="51"/>
    </row>
    <row r="352" spans="6:24">
      <c r="F352" s="51"/>
      <c r="H352" s="51"/>
      <c r="L352" s="51"/>
      <c r="P352" s="51"/>
      <c r="T352" s="51"/>
      <c r="V352" s="51"/>
      <c r="X352" s="51"/>
    </row>
    <row r="353" spans="6:24">
      <c r="F353" s="51"/>
      <c r="H353" s="51"/>
      <c r="L353" s="51"/>
      <c r="P353" s="51"/>
      <c r="T353" s="51"/>
      <c r="V353" s="51"/>
      <c r="X353" s="51"/>
    </row>
    <row r="354" spans="6:24">
      <c r="F354" s="51"/>
      <c r="H354" s="51"/>
      <c r="L354" s="51"/>
      <c r="P354" s="51"/>
      <c r="T354" s="51"/>
      <c r="V354" s="51"/>
      <c r="X354" s="51"/>
    </row>
    <row r="355" spans="6:24">
      <c r="F355" s="51"/>
      <c r="H355" s="51"/>
      <c r="L355" s="51"/>
      <c r="P355" s="51"/>
      <c r="T355" s="51"/>
      <c r="V355" s="51"/>
      <c r="X355" s="51"/>
    </row>
    <row r="356" spans="6:24">
      <c r="F356" s="51"/>
      <c r="H356" s="51"/>
      <c r="L356" s="51"/>
      <c r="P356" s="51"/>
      <c r="T356" s="51"/>
      <c r="V356" s="51"/>
      <c r="X356" s="51"/>
    </row>
    <row r="357" spans="6:24">
      <c r="F357" s="51"/>
      <c r="H357" s="51"/>
      <c r="L357" s="51"/>
      <c r="P357" s="51"/>
      <c r="T357" s="51"/>
      <c r="V357" s="51"/>
      <c r="X357" s="51"/>
    </row>
    <row r="358" spans="6:24">
      <c r="F358" s="51"/>
      <c r="H358" s="51"/>
      <c r="L358" s="51"/>
      <c r="P358" s="51"/>
      <c r="T358" s="51"/>
      <c r="V358" s="51"/>
      <c r="X358" s="51"/>
    </row>
    <row r="359" spans="6:24">
      <c r="F359" s="51"/>
      <c r="H359" s="51"/>
      <c r="L359" s="51"/>
      <c r="P359" s="51"/>
      <c r="T359" s="51"/>
      <c r="V359" s="51"/>
      <c r="X359" s="51"/>
    </row>
    <row r="360" spans="6:24">
      <c r="F360" s="51"/>
      <c r="H360" s="51"/>
      <c r="L360" s="51"/>
      <c r="P360" s="51"/>
      <c r="T360" s="51"/>
      <c r="V360" s="51"/>
      <c r="X360" s="51"/>
    </row>
    <row r="361" spans="6:24">
      <c r="F361" s="51"/>
      <c r="H361" s="51"/>
      <c r="L361" s="51"/>
      <c r="P361" s="51"/>
      <c r="T361" s="51"/>
      <c r="V361" s="51"/>
      <c r="X361" s="51"/>
    </row>
    <row r="362" spans="6:24">
      <c r="F362" s="51"/>
      <c r="H362" s="51"/>
      <c r="L362" s="51"/>
      <c r="P362" s="51"/>
      <c r="T362" s="51"/>
      <c r="V362" s="51"/>
      <c r="X362" s="51"/>
    </row>
    <row r="363" spans="6:24">
      <c r="F363" s="51"/>
      <c r="H363" s="51"/>
      <c r="L363" s="51"/>
      <c r="P363" s="51"/>
      <c r="T363" s="51"/>
      <c r="V363" s="51"/>
      <c r="X363" s="51"/>
    </row>
    <row r="364" spans="6:24">
      <c r="F364" s="51"/>
      <c r="H364" s="51"/>
      <c r="L364" s="51"/>
      <c r="P364" s="51"/>
      <c r="T364" s="51"/>
      <c r="V364" s="51"/>
      <c r="X364" s="51"/>
    </row>
    <row r="365" spans="6:24">
      <c r="F365" s="51"/>
      <c r="H365" s="51"/>
      <c r="L365" s="51"/>
      <c r="P365" s="51"/>
      <c r="T365" s="51"/>
      <c r="V365" s="51"/>
      <c r="X365" s="51"/>
    </row>
    <row r="366" spans="6:24">
      <c r="F366" s="51"/>
      <c r="H366" s="51"/>
      <c r="L366" s="51"/>
      <c r="P366" s="51"/>
      <c r="T366" s="51"/>
      <c r="V366" s="51"/>
      <c r="X366" s="51"/>
    </row>
    <row r="367" spans="6:24">
      <c r="F367" s="51"/>
      <c r="H367" s="51"/>
      <c r="L367" s="51"/>
      <c r="P367" s="51"/>
      <c r="T367" s="51"/>
      <c r="V367" s="51"/>
      <c r="X367" s="51"/>
    </row>
    <row r="368" spans="6:24">
      <c r="F368" s="51"/>
      <c r="H368" s="51"/>
      <c r="L368" s="51"/>
      <c r="P368" s="51"/>
      <c r="T368" s="51"/>
      <c r="V368" s="51"/>
      <c r="X368" s="51"/>
    </row>
    <row r="369" spans="6:24">
      <c r="F369" s="51"/>
      <c r="H369" s="51"/>
      <c r="L369" s="51"/>
      <c r="P369" s="51"/>
      <c r="T369" s="51"/>
      <c r="V369" s="51"/>
      <c r="X369" s="51"/>
    </row>
    <row r="370" spans="6:24">
      <c r="F370" s="51"/>
      <c r="H370" s="51"/>
      <c r="L370" s="51"/>
      <c r="P370" s="51"/>
      <c r="T370" s="51"/>
      <c r="V370" s="51"/>
      <c r="X370" s="51"/>
    </row>
    <row r="371" spans="6:24">
      <c r="F371" s="51"/>
      <c r="H371" s="51"/>
      <c r="L371" s="51"/>
      <c r="P371" s="51"/>
      <c r="T371" s="51"/>
      <c r="V371" s="51"/>
      <c r="X371" s="51"/>
    </row>
    <row r="372" spans="6:24">
      <c r="F372" s="51"/>
      <c r="H372" s="51"/>
      <c r="L372" s="51"/>
      <c r="P372" s="51"/>
      <c r="T372" s="51"/>
      <c r="V372" s="51"/>
      <c r="X372" s="51"/>
    </row>
    <row r="373" spans="6:24">
      <c r="F373" s="51"/>
      <c r="H373" s="51"/>
      <c r="L373" s="51"/>
      <c r="P373" s="51"/>
      <c r="T373" s="51"/>
      <c r="V373" s="51"/>
      <c r="X373" s="51"/>
    </row>
    <row r="374" spans="6:24">
      <c r="F374" s="51"/>
      <c r="H374" s="51"/>
      <c r="L374" s="51"/>
      <c r="P374" s="51"/>
      <c r="T374" s="51"/>
      <c r="V374" s="51"/>
      <c r="X374" s="51"/>
    </row>
    <row r="375" spans="6:24">
      <c r="F375" s="51"/>
      <c r="H375" s="51"/>
      <c r="L375" s="51"/>
      <c r="P375" s="51"/>
      <c r="T375" s="51"/>
      <c r="V375" s="51"/>
      <c r="X375" s="51"/>
    </row>
    <row r="376" spans="6:24">
      <c r="F376" s="51"/>
      <c r="H376" s="51"/>
      <c r="L376" s="51"/>
      <c r="P376" s="51"/>
      <c r="T376" s="51"/>
      <c r="V376" s="51"/>
      <c r="X376" s="51"/>
    </row>
    <row r="377" spans="6:24">
      <c r="F377" s="51"/>
      <c r="H377" s="51"/>
      <c r="L377" s="51"/>
      <c r="P377" s="51"/>
      <c r="T377" s="51"/>
      <c r="V377" s="51"/>
      <c r="X377" s="51"/>
    </row>
    <row r="378" spans="6:24">
      <c r="F378" s="51"/>
      <c r="H378" s="51"/>
      <c r="L378" s="51"/>
      <c r="P378" s="51"/>
      <c r="T378" s="51"/>
      <c r="V378" s="51"/>
      <c r="X378" s="51"/>
    </row>
    <row r="379" spans="6:24">
      <c r="F379" s="51"/>
      <c r="H379" s="51"/>
      <c r="L379" s="51"/>
      <c r="P379" s="51"/>
      <c r="T379" s="51"/>
      <c r="V379" s="51"/>
      <c r="X379" s="51"/>
    </row>
    <row r="380" spans="6:24">
      <c r="F380" s="51"/>
      <c r="H380" s="51"/>
      <c r="L380" s="51"/>
      <c r="P380" s="51"/>
      <c r="T380" s="51"/>
      <c r="V380" s="51"/>
      <c r="X380" s="51"/>
    </row>
    <row r="381" spans="6:24">
      <c r="F381" s="51"/>
      <c r="H381" s="51"/>
      <c r="L381" s="51"/>
      <c r="P381" s="51"/>
      <c r="T381" s="51"/>
      <c r="V381" s="51"/>
      <c r="X381" s="51"/>
    </row>
    <row r="382" spans="6:24">
      <c r="F382" s="51"/>
      <c r="H382" s="51"/>
      <c r="L382" s="51"/>
      <c r="P382" s="51"/>
      <c r="T382" s="51"/>
      <c r="V382" s="51"/>
      <c r="X382" s="51"/>
    </row>
    <row r="383" spans="6:24">
      <c r="F383" s="51"/>
      <c r="H383" s="51"/>
      <c r="L383" s="51"/>
      <c r="P383" s="51"/>
      <c r="T383" s="51"/>
      <c r="V383" s="51"/>
      <c r="X383" s="51"/>
    </row>
    <row r="384" spans="6:24">
      <c r="F384" s="51"/>
      <c r="H384" s="51"/>
      <c r="L384" s="51"/>
      <c r="P384" s="51"/>
      <c r="T384" s="51"/>
      <c r="V384" s="51"/>
      <c r="X384" s="51"/>
    </row>
    <row r="385" spans="6:24">
      <c r="F385" s="51"/>
      <c r="H385" s="51"/>
      <c r="L385" s="51"/>
      <c r="P385" s="51"/>
      <c r="T385" s="51"/>
      <c r="V385" s="51"/>
      <c r="X385" s="51"/>
    </row>
    <row r="386" spans="6:24">
      <c r="F386" s="51"/>
      <c r="H386" s="51"/>
      <c r="L386" s="51"/>
      <c r="P386" s="51"/>
      <c r="T386" s="51"/>
      <c r="V386" s="51"/>
      <c r="X386" s="51"/>
    </row>
    <row r="387" spans="6:24">
      <c r="F387" s="51"/>
      <c r="H387" s="51"/>
      <c r="L387" s="51"/>
      <c r="P387" s="51"/>
      <c r="T387" s="51"/>
      <c r="V387" s="51"/>
      <c r="X387" s="51"/>
    </row>
    <row r="388" spans="6:24">
      <c r="F388" s="51"/>
      <c r="H388" s="51"/>
      <c r="L388" s="51"/>
      <c r="P388" s="51"/>
      <c r="T388" s="51"/>
      <c r="V388" s="51"/>
      <c r="X388" s="51"/>
    </row>
    <row r="389" spans="6:24">
      <c r="F389" s="51"/>
      <c r="H389" s="51"/>
      <c r="L389" s="51"/>
      <c r="P389" s="51"/>
      <c r="T389" s="51"/>
      <c r="V389" s="51"/>
      <c r="X389" s="51"/>
    </row>
    <row r="390" spans="6:24">
      <c r="F390" s="51"/>
      <c r="H390" s="51"/>
      <c r="L390" s="51"/>
      <c r="P390" s="51"/>
      <c r="T390" s="51"/>
      <c r="V390" s="51"/>
      <c r="X390" s="51"/>
    </row>
    <row r="391" spans="6:24">
      <c r="F391" s="51"/>
      <c r="H391" s="51"/>
      <c r="L391" s="51"/>
      <c r="P391" s="51"/>
      <c r="T391" s="51"/>
      <c r="V391" s="51"/>
      <c r="X391" s="51"/>
    </row>
    <row r="392" spans="6:24">
      <c r="F392" s="51"/>
      <c r="H392" s="51"/>
      <c r="L392" s="51"/>
      <c r="P392" s="51"/>
      <c r="T392" s="51"/>
      <c r="V392" s="51"/>
      <c r="X392" s="51"/>
    </row>
    <row r="393" spans="6:24">
      <c r="F393" s="51"/>
      <c r="H393" s="51"/>
      <c r="L393" s="51"/>
      <c r="P393" s="51"/>
      <c r="T393" s="51"/>
      <c r="V393" s="51"/>
      <c r="X393" s="51"/>
    </row>
    <row r="394" spans="6:24">
      <c r="F394" s="51"/>
      <c r="H394" s="51"/>
      <c r="L394" s="51"/>
      <c r="P394" s="51"/>
      <c r="T394" s="51"/>
      <c r="V394" s="51"/>
      <c r="X394" s="51"/>
    </row>
    <row r="395" spans="6:24">
      <c r="F395" s="51"/>
      <c r="H395" s="51"/>
      <c r="L395" s="51"/>
      <c r="P395" s="51"/>
      <c r="T395" s="51"/>
      <c r="V395" s="51"/>
      <c r="X395" s="51"/>
    </row>
    <row r="396" spans="6:24">
      <c r="F396" s="51"/>
      <c r="H396" s="51"/>
      <c r="L396" s="51"/>
      <c r="P396" s="51"/>
      <c r="T396" s="51"/>
      <c r="V396" s="51"/>
      <c r="X396" s="51"/>
    </row>
    <row r="397" spans="6:24">
      <c r="F397" s="51"/>
      <c r="H397" s="51"/>
      <c r="L397" s="51"/>
      <c r="P397" s="51"/>
      <c r="T397" s="51"/>
      <c r="V397" s="51"/>
      <c r="X397" s="51"/>
    </row>
    <row r="398" spans="6:24">
      <c r="F398" s="51"/>
      <c r="H398" s="51"/>
      <c r="L398" s="51"/>
      <c r="P398" s="51"/>
      <c r="T398" s="51"/>
      <c r="V398" s="51"/>
      <c r="X398" s="51"/>
    </row>
    <row r="399" spans="6:24">
      <c r="F399" s="51"/>
      <c r="H399" s="51"/>
      <c r="L399" s="51"/>
      <c r="P399" s="51"/>
      <c r="T399" s="51"/>
      <c r="V399" s="51"/>
      <c r="X399" s="51"/>
    </row>
    <row r="400" spans="6:24">
      <c r="F400" s="51"/>
      <c r="H400" s="51"/>
      <c r="L400" s="51"/>
      <c r="P400" s="51"/>
      <c r="T400" s="51"/>
      <c r="V400" s="51"/>
      <c r="X400" s="51"/>
    </row>
    <row r="401" spans="6:24">
      <c r="F401" s="51"/>
      <c r="H401" s="51"/>
      <c r="L401" s="51"/>
      <c r="P401" s="51"/>
      <c r="T401" s="51"/>
      <c r="V401" s="51"/>
      <c r="X401" s="51"/>
    </row>
    <row r="402" spans="6:24">
      <c r="F402" s="51"/>
      <c r="H402" s="51"/>
      <c r="L402" s="51"/>
      <c r="P402" s="51"/>
      <c r="T402" s="51"/>
      <c r="V402" s="51"/>
      <c r="X402" s="51"/>
    </row>
    <row r="403" spans="6:24">
      <c r="F403" s="51"/>
      <c r="H403" s="51"/>
      <c r="L403" s="51"/>
      <c r="P403" s="51"/>
      <c r="T403" s="51"/>
      <c r="V403" s="51"/>
      <c r="X403" s="51"/>
    </row>
    <row r="404" spans="6:24">
      <c r="F404" s="51"/>
      <c r="H404" s="51"/>
      <c r="L404" s="51"/>
      <c r="P404" s="51"/>
      <c r="T404" s="51"/>
      <c r="V404" s="51"/>
      <c r="X404" s="51"/>
    </row>
    <row r="405" spans="6:24">
      <c r="F405" s="51"/>
      <c r="H405" s="51"/>
      <c r="L405" s="51"/>
      <c r="P405" s="51"/>
      <c r="T405" s="51"/>
      <c r="V405" s="51"/>
      <c r="X405" s="51"/>
    </row>
    <row r="406" spans="6:24">
      <c r="F406" s="51"/>
      <c r="H406" s="51"/>
      <c r="L406" s="51"/>
      <c r="P406" s="51"/>
      <c r="T406" s="51"/>
      <c r="V406" s="51"/>
      <c r="X406" s="51"/>
    </row>
    <row r="407" spans="6:24">
      <c r="F407" s="51"/>
      <c r="H407" s="51"/>
      <c r="L407" s="51"/>
      <c r="P407" s="51"/>
      <c r="T407" s="51"/>
      <c r="V407" s="51"/>
      <c r="X407" s="51"/>
    </row>
    <row r="408" spans="6:24">
      <c r="F408" s="51"/>
      <c r="H408" s="51"/>
      <c r="L408" s="51"/>
      <c r="P408" s="51"/>
      <c r="T408" s="51"/>
      <c r="V408" s="51"/>
      <c r="X408" s="51"/>
    </row>
    <row r="409" spans="6:24">
      <c r="F409" s="51"/>
      <c r="H409" s="51"/>
      <c r="L409" s="51"/>
      <c r="P409" s="51"/>
      <c r="T409" s="51"/>
      <c r="V409" s="51"/>
      <c r="X409" s="51"/>
    </row>
    <row r="410" spans="6:24">
      <c r="F410" s="51"/>
      <c r="H410" s="51"/>
      <c r="L410" s="51"/>
      <c r="P410" s="51"/>
      <c r="T410" s="51"/>
      <c r="V410" s="51"/>
      <c r="X410" s="51"/>
    </row>
    <row r="411" spans="6:24">
      <c r="F411" s="51"/>
      <c r="H411" s="51"/>
      <c r="L411" s="51"/>
      <c r="P411" s="51"/>
      <c r="T411" s="51"/>
      <c r="V411" s="51"/>
      <c r="X411" s="51"/>
    </row>
    <row r="412" spans="6:24">
      <c r="F412" s="51"/>
      <c r="H412" s="51"/>
      <c r="L412" s="51"/>
      <c r="P412" s="51"/>
      <c r="T412" s="51"/>
      <c r="V412" s="51"/>
      <c r="X412" s="51"/>
    </row>
    <row r="413" spans="6:24">
      <c r="F413" s="51"/>
      <c r="H413" s="51"/>
      <c r="L413" s="51"/>
      <c r="P413" s="51"/>
      <c r="T413" s="51"/>
      <c r="V413" s="51"/>
      <c r="X413" s="51"/>
    </row>
    <row r="414" spans="6:24">
      <c r="F414" s="51"/>
      <c r="H414" s="51"/>
      <c r="L414" s="51"/>
      <c r="P414" s="51"/>
      <c r="T414" s="51"/>
      <c r="V414" s="51"/>
      <c r="X414" s="51"/>
    </row>
    <row r="415" spans="6:24">
      <c r="F415" s="51"/>
      <c r="H415" s="51"/>
      <c r="L415" s="51"/>
      <c r="P415" s="51"/>
      <c r="T415" s="51"/>
      <c r="V415" s="51"/>
      <c r="X415" s="51"/>
    </row>
    <row r="416" spans="6:24">
      <c r="F416" s="51"/>
      <c r="H416" s="51"/>
      <c r="L416" s="51"/>
      <c r="P416" s="51"/>
      <c r="T416" s="51"/>
      <c r="V416" s="51"/>
      <c r="X416" s="51"/>
    </row>
    <row r="417" spans="6:24">
      <c r="F417" s="51"/>
      <c r="H417" s="51"/>
      <c r="L417" s="51"/>
      <c r="P417" s="51"/>
      <c r="T417" s="51"/>
      <c r="V417" s="51"/>
      <c r="X417" s="51"/>
    </row>
    <row r="418" spans="6:24">
      <c r="F418" s="51"/>
      <c r="H418" s="51"/>
      <c r="L418" s="51"/>
      <c r="P418" s="51"/>
      <c r="T418" s="51"/>
      <c r="V418" s="51"/>
      <c r="X418" s="51"/>
    </row>
    <row r="419" spans="6:24">
      <c r="F419" s="51"/>
      <c r="H419" s="51"/>
      <c r="L419" s="51"/>
      <c r="P419" s="51"/>
      <c r="T419" s="51"/>
      <c r="V419" s="51"/>
      <c r="X419" s="51"/>
    </row>
    <row r="420" spans="6:24">
      <c r="F420" s="51"/>
      <c r="H420" s="51"/>
      <c r="L420" s="51"/>
      <c r="P420" s="51"/>
      <c r="T420" s="51"/>
      <c r="V420" s="51"/>
      <c r="X420" s="51"/>
    </row>
    <row r="421" spans="6:24">
      <c r="F421" s="51"/>
      <c r="H421" s="51"/>
      <c r="L421" s="51"/>
      <c r="P421" s="51"/>
      <c r="T421" s="51"/>
      <c r="V421" s="51"/>
      <c r="X421" s="51"/>
    </row>
    <row r="422" spans="6:24">
      <c r="F422" s="51"/>
      <c r="H422" s="51"/>
      <c r="L422" s="51"/>
      <c r="P422" s="51"/>
      <c r="T422" s="51"/>
      <c r="V422" s="51"/>
      <c r="X422" s="51"/>
    </row>
    <row r="423" spans="6:24">
      <c r="F423" s="51"/>
      <c r="H423" s="51"/>
      <c r="L423" s="51"/>
      <c r="P423" s="51"/>
      <c r="T423" s="51"/>
      <c r="V423" s="51"/>
      <c r="X423" s="51"/>
    </row>
    <row r="424" spans="6:24">
      <c r="F424" s="51"/>
      <c r="H424" s="51"/>
      <c r="L424" s="51"/>
      <c r="P424" s="51"/>
      <c r="T424" s="51"/>
      <c r="V424" s="51"/>
      <c r="X424" s="51"/>
    </row>
    <row r="425" spans="6:24">
      <c r="F425" s="51"/>
      <c r="H425" s="51"/>
      <c r="L425" s="51"/>
      <c r="P425" s="51"/>
      <c r="T425" s="51"/>
      <c r="V425" s="51"/>
      <c r="X425" s="51"/>
    </row>
    <row r="426" spans="6:24">
      <c r="F426" s="51"/>
      <c r="H426" s="51"/>
      <c r="L426" s="51"/>
      <c r="P426" s="51"/>
      <c r="T426" s="51"/>
      <c r="V426" s="51"/>
      <c r="X426" s="51"/>
    </row>
    <row r="427" spans="6:24">
      <c r="F427" s="51"/>
      <c r="H427" s="51"/>
      <c r="L427" s="51"/>
      <c r="P427" s="51"/>
      <c r="T427" s="51"/>
      <c r="V427" s="51"/>
      <c r="X427" s="51"/>
    </row>
    <row r="428" spans="6:24">
      <c r="F428" s="51"/>
      <c r="H428" s="51"/>
      <c r="L428" s="51"/>
      <c r="P428" s="51"/>
      <c r="T428" s="51"/>
      <c r="V428" s="51"/>
      <c r="X428" s="51"/>
    </row>
    <row r="429" spans="6:24">
      <c r="F429" s="51"/>
      <c r="H429" s="51"/>
      <c r="L429" s="51"/>
      <c r="P429" s="51"/>
      <c r="T429" s="51"/>
      <c r="V429" s="51"/>
      <c r="X429" s="51"/>
    </row>
    <row r="430" spans="6:24">
      <c r="F430" s="51"/>
      <c r="H430" s="51"/>
      <c r="L430" s="51"/>
      <c r="P430" s="51"/>
      <c r="T430" s="51"/>
      <c r="V430" s="51"/>
      <c r="X430" s="51"/>
    </row>
    <row r="431" spans="6:24">
      <c r="F431" s="51"/>
      <c r="H431" s="51"/>
      <c r="L431" s="51"/>
      <c r="P431" s="51"/>
      <c r="T431" s="51"/>
      <c r="V431" s="51"/>
      <c r="X431" s="51"/>
    </row>
    <row r="432" spans="6:24">
      <c r="F432" s="51"/>
      <c r="H432" s="51"/>
      <c r="L432" s="51"/>
      <c r="P432" s="51"/>
      <c r="T432" s="51"/>
      <c r="V432" s="51"/>
      <c r="X432" s="51"/>
    </row>
    <row r="433" spans="6:24">
      <c r="F433" s="51"/>
      <c r="H433" s="51"/>
      <c r="L433" s="51"/>
      <c r="P433" s="51"/>
      <c r="T433" s="51"/>
      <c r="V433" s="51"/>
      <c r="X433" s="51"/>
    </row>
    <row r="434" spans="6:24">
      <c r="F434" s="51"/>
      <c r="H434" s="51"/>
      <c r="L434" s="51"/>
      <c r="P434" s="51"/>
      <c r="T434" s="51"/>
      <c r="V434" s="51"/>
      <c r="X434" s="51"/>
    </row>
    <row r="435" spans="6:24">
      <c r="F435" s="51"/>
      <c r="H435" s="51"/>
      <c r="L435" s="51"/>
      <c r="P435" s="51"/>
      <c r="T435" s="51"/>
      <c r="V435" s="51"/>
      <c r="X435" s="51"/>
    </row>
    <row r="436" spans="6:24">
      <c r="F436" s="51"/>
      <c r="H436" s="51"/>
      <c r="L436" s="51"/>
      <c r="P436" s="51"/>
      <c r="T436" s="51"/>
      <c r="V436" s="51"/>
      <c r="X436" s="51"/>
    </row>
    <row r="437" spans="6:24">
      <c r="F437" s="51"/>
      <c r="H437" s="51"/>
      <c r="L437" s="51"/>
      <c r="P437" s="51"/>
      <c r="T437" s="51"/>
      <c r="V437" s="51"/>
      <c r="X437" s="51"/>
    </row>
    <row r="438" spans="6:24">
      <c r="F438" s="51"/>
      <c r="H438" s="51"/>
      <c r="L438" s="51"/>
      <c r="P438" s="51"/>
      <c r="T438" s="51"/>
      <c r="V438" s="51"/>
      <c r="X438" s="51"/>
    </row>
    <row r="439" spans="6:24">
      <c r="F439" s="51"/>
      <c r="H439" s="51"/>
      <c r="L439" s="51"/>
      <c r="P439" s="51"/>
      <c r="T439" s="51"/>
      <c r="V439" s="51"/>
      <c r="X439" s="51"/>
    </row>
    <row r="440" spans="6:24">
      <c r="F440" s="51"/>
      <c r="H440" s="51"/>
      <c r="L440" s="51"/>
      <c r="P440" s="51"/>
      <c r="T440" s="51"/>
      <c r="V440" s="51"/>
      <c r="X440" s="51"/>
    </row>
    <row r="441" spans="6:24">
      <c r="F441" s="51"/>
      <c r="H441" s="51"/>
      <c r="L441" s="51"/>
      <c r="P441" s="51"/>
      <c r="T441" s="51"/>
      <c r="V441" s="51"/>
      <c r="X441" s="51"/>
    </row>
    <row r="442" spans="6:24">
      <c r="F442" s="51"/>
      <c r="H442" s="51"/>
      <c r="L442" s="51"/>
      <c r="P442" s="51"/>
      <c r="T442" s="51"/>
      <c r="V442" s="51"/>
      <c r="X442" s="51"/>
    </row>
    <row r="443" spans="6:24">
      <c r="F443" s="51"/>
      <c r="H443" s="51"/>
      <c r="L443" s="51"/>
      <c r="P443" s="51"/>
      <c r="T443" s="51"/>
      <c r="V443" s="51"/>
      <c r="X443" s="51"/>
    </row>
    <row r="444" spans="6:24">
      <c r="F444" s="51"/>
      <c r="H444" s="51"/>
      <c r="L444" s="51"/>
      <c r="P444" s="51"/>
      <c r="T444" s="51"/>
      <c r="V444" s="51"/>
      <c r="X444" s="51"/>
    </row>
    <row r="445" spans="6:24">
      <c r="F445" s="51"/>
      <c r="H445" s="51"/>
      <c r="L445" s="51"/>
      <c r="P445" s="51"/>
      <c r="T445" s="51"/>
      <c r="V445" s="51"/>
      <c r="X445" s="51"/>
    </row>
    <row r="446" spans="6:24">
      <c r="F446" s="51"/>
      <c r="H446" s="51"/>
      <c r="L446" s="51"/>
      <c r="P446" s="51"/>
      <c r="T446" s="51"/>
      <c r="V446" s="51"/>
      <c r="X446" s="51"/>
    </row>
    <row r="447" spans="6:24">
      <c r="F447" s="51"/>
      <c r="H447" s="51"/>
      <c r="L447" s="51"/>
      <c r="P447" s="51"/>
      <c r="T447" s="51"/>
      <c r="V447" s="51"/>
      <c r="X447" s="51"/>
    </row>
    <row r="448" spans="6:24">
      <c r="F448" s="51"/>
      <c r="H448" s="51"/>
      <c r="L448" s="51"/>
      <c r="P448" s="51"/>
      <c r="T448" s="51"/>
      <c r="V448" s="51"/>
      <c r="X448" s="51"/>
    </row>
    <row r="449" spans="6:24">
      <c r="F449" s="51"/>
      <c r="H449" s="51"/>
      <c r="L449" s="51"/>
      <c r="P449" s="51"/>
      <c r="T449" s="51"/>
      <c r="V449" s="51"/>
      <c r="X449" s="51"/>
    </row>
    <row r="450" spans="6:24">
      <c r="F450" s="51"/>
      <c r="H450" s="51"/>
      <c r="L450" s="51"/>
      <c r="P450" s="51"/>
      <c r="T450" s="51"/>
      <c r="V450" s="51"/>
      <c r="X450" s="51"/>
    </row>
    <row r="451" spans="6:24">
      <c r="F451" s="51"/>
      <c r="H451" s="51"/>
      <c r="L451" s="51"/>
      <c r="P451" s="51"/>
      <c r="T451" s="51"/>
      <c r="V451" s="51"/>
      <c r="X451" s="51"/>
    </row>
    <row r="452" spans="6:24">
      <c r="F452" s="51"/>
      <c r="H452" s="51"/>
      <c r="L452" s="51"/>
      <c r="P452" s="51"/>
      <c r="T452" s="51"/>
      <c r="V452" s="51"/>
      <c r="X452" s="51"/>
    </row>
    <row r="453" spans="6:24">
      <c r="F453" s="51"/>
      <c r="H453" s="51"/>
      <c r="L453" s="51"/>
      <c r="P453" s="51"/>
      <c r="T453" s="51"/>
      <c r="V453" s="51"/>
      <c r="X453" s="51"/>
    </row>
    <row r="454" spans="6:24">
      <c r="F454" s="51"/>
      <c r="H454" s="51"/>
      <c r="L454" s="51"/>
      <c r="P454" s="51"/>
      <c r="T454" s="51"/>
      <c r="V454" s="51"/>
      <c r="X454" s="51"/>
    </row>
    <row r="455" spans="6:24">
      <c r="F455" s="51"/>
      <c r="H455" s="51"/>
      <c r="L455" s="51"/>
      <c r="P455" s="51"/>
      <c r="T455" s="51"/>
      <c r="V455" s="51"/>
      <c r="X455" s="51"/>
    </row>
    <row r="456" spans="6:24">
      <c r="F456" s="51"/>
      <c r="H456" s="51"/>
      <c r="L456" s="51"/>
      <c r="P456" s="51"/>
      <c r="T456" s="51"/>
      <c r="V456" s="51"/>
      <c r="X456" s="51"/>
    </row>
    <row r="457" spans="6:24">
      <c r="F457" s="51"/>
      <c r="H457" s="51"/>
      <c r="L457" s="51"/>
      <c r="P457" s="51"/>
      <c r="T457" s="51"/>
      <c r="V457" s="51"/>
      <c r="X457" s="51"/>
    </row>
    <row r="458" spans="6:24">
      <c r="F458" s="51"/>
      <c r="H458" s="51"/>
      <c r="L458" s="51"/>
      <c r="P458" s="51"/>
      <c r="T458" s="51"/>
      <c r="V458" s="51"/>
      <c r="X458" s="51"/>
    </row>
    <row r="459" spans="6:24">
      <c r="F459" s="51"/>
      <c r="H459" s="51"/>
      <c r="L459" s="51"/>
      <c r="P459" s="51"/>
      <c r="T459" s="51"/>
      <c r="V459" s="51"/>
      <c r="X459" s="51"/>
    </row>
    <row r="460" spans="6:24">
      <c r="F460" s="51"/>
      <c r="H460" s="51"/>
      <c r="L460" s="51"/>
      <c r="P460" s="51"/>
      <c r="T460" s="51"/>
      <c r="V460" s="51"/>
      <c r="X460" s="51"/>
    </row>
    <row r="461" spans="6:24">
      <c r="F461" s="51"/>
      <c r="H461" s="51"/>
      <c r="L461" s="51"/>
      <c r="P461" s="51"/>
      <c r="T461" s="51"/>
      <c r="V461" s="51"/>
      <c r="X461" s="51"/>
    </row>
    <row r="462" spans="6:24">
      <c r="F462" s="51"/>
      <c r="H462" s="51"/>
      <c r="L462" s="51"/>
      <c r="P462" s="51"/>
      <c r="T462" s="51"/>
      <c r="V462" s="51"/>
      <c r="X462" s="51"/>
    </row>
    <row r="463" spans="6:24">
      <c r="F463" s="51"/>
      <c r="H463" s="51"/>
      <c r="L463" s="51"/>
      <c r="P463" s="51"/>
      <c r="T463" s="51"/>
      <c r="V463" s="51"/>
      <c r="X463" s="51"/>
    </row>
    <row r="464" spans="6:24">
      <c r="F464" s="51"/>
      <c r="H464" s="51"/>
      <c r="L464" s="51"/>
      <c r="P464" s="51"/>
      <c r="T464" s="51"/>
      <c r="V464" s="51"/>
      <c r="X464" s="51"/>
    </row>
    <row r="465" spans="6:24">
      <c r="F465" s="51"/>
      <c r="H465" s="51"/>
      <c r="L465" s="51"/>
      <c r="P465" s="51"/>
      <c r="T465" s="51"/>
      <c r="V465" s="51"/>
      <c r="X465" s="51"/>
    </row>
    <row r="466" spans="6:24">
      <c r="F466" s="51"/>
      <c r="H466" s="51"/>
      <c r="L466" s="51"/>
      <c r="P466" s="51"/>
      <c r="T466" s="51"/>
      <c r="V466" s="51"/>
      <c r="X466" s="51"/>
    </row>
    <row r="467" spans="6:24">
      <c r="F467" s="51"/>
      <c r="H467" s="51"/>
      <c r="L467" s="51"/>
      <c r="P467" s="51"/>
      <c r="T467" s="51"/>
      <c r="V467" s="51"/>
      <c r="X467" s="51"/>
    </row>
    <row r="468" spans="6:24">
      <c r="F468" s="51"/>
      <c r="H468" s="51"/>
      <c r="L468" s="51"/>
      <c r="P468" s="51"/>
      <c r="T468" s="51"/>
      <c r="V468" s="51"/>
      <c r="X468" s="51"/>
    </row>
    <row r="469" spans="6:24">
      <c r="F469" s="51"/>
      <c r="H469" s="51"/>
      <c r="L469" s="51"/>
      <c r="P469" s="51"/>
      <c r="T469" s="51"/>
      <c r="V469" s="51"/>
      <c r="X469" s="51"/>
    </row>
    <row r="470" spans="6:24">
      <c r="F470" s="51"/>
      <c r="H470" s="51"/>
      <c r="L470" s="51"/>
      <c r="P470" s="51"/>
      <c r="T470" s="51"/>
      <c r="V470" s="51"/>
      <c r="X470" s="51"/>
    </row>
    <row r="471" spans="6:24">
      <c r="F471" s="51"/>
      <c r="H471" s="51"/>
      <c r="L471" s="51"/>
      <c r="P471" s="51"/>
      <c r="T471" s="51"/>
      <c r="V471" s="51"/>
      <c r="X471" s="51"/>
    </row>
    <row r="472" spans="6:24">
      <c r="F472" s="51"/>
      <c r="H472" s="51"/>
      <c r="L472" s="51"/>
      <c r="P472" s="51"/>
      <c r="T472" s="51"/>
      <c r="V472" s="51"/>
      <c r="X472" s="51"/>
    </row>
    <row r="473" spans="6:24">
      <c r="F473" s="51"/>
      <c r="H473" s="51"/>
      <c r="L473" s="51"/>
      <c r="P473" s="51"/>
      <c r="T473" s="51"/>
      <c r="V473" s="51"/>
      <c r="X473" s="51"/>
    </row>
    <row r="474" spans="6:24">
      <c r="F474" s="51"/>
      <c r="H474" s="51"/>
      <c r="L474" s="51"/>
      <c r="P474" s="51"/>
      <c r="T474" s="51"/>
      <c r="V474" s="51"/>
      <c r="X474" s="51"/>
    </row>
    <row r="475" spans="6:24">
      <c r="F475" s="51"/>
      <c r="H475" s="51"/>
      <c r="L475" s="51"/>
      <c r="P475" s="51"/>
      <c r="T475" s="51"/>
      <c r="V475" s="51"/>
      <c r="X475" s="51"/>
    </row>
    <row r="476" spans="6:24">
      <c r="F476" s="51"/>
      <c r="H476" s="51"/>
      <c r="L476" s="51"/>
      <c r="P476" s="51"/>
      <c r="T476" s="51"/>
      <c r="V476" s="51"/>
      <c r="X476" s="51"/>
    </row>
    <row r="477" spans="6:24">
      <c r="F477" s="51"/>
      <c r="H477" s="51"/>
      <c r="L477" s="51"/>
      <c r="P477" s="51"/>
      <c r="T477" s="51"/>
      <c r="V477" s="51"/>
      <c r="X477" s="51"/>
    </row>
    <row r="478" spans="6:24">
      <c r="F478" s="51"/>
      <c r="H478" s="51"/>
      <c r="L478" s="51"/>
      <c r="P478" s="51"/>
      <c r="T478" s="51"/>
      <c r="V478" s="51"/>
      <c r="X478" s="51"/>
    </row>
    <row r="479" spans="6:24">
      <c r="F479" s="51"/>
      <c r="H479" s="51"/>
      <c r="L479" s="51"/>
      <c r="P479" s="51"/>
      <c r="T479" s="51"/>
      <c r="V479" s="51"/>
      <c r="X479" s="51"/>
    </row>
    <row r="480" spans="6:24">
      <c r="F480" s="51"/>
      <c r="H480" s="51"/>
      <c r="L480" s="51"/>
      <c r="P480" s="51"/>
      <c r="T480" s="51"/>
      <c r="V480" s="51"/>
      <c r="X480" s="51"/>
    </row>
    <row r="481" spans="6:24">
      <c r="F481" s="51"/>
      <c r="H481" s="51"/>
      <c r="L481" s="51"/>
      <c r="P481" s="51"/>
      <c r="T481" s="51"/>
      <c r="V481" s="51"/>
      <c r="X481" s="51"/>
    </row>
    <row r="482" spans="6:24">
      <c r="F482" s="51"/>
      <c r="H482" s="51"/>
      <c r="L482" s="51"/>
      <c r="P482" s="51"/>
      <c r="T482" s="51"/>
      <c r="V482" s="51"/>
      <c r="X482" s="51"/>
    </row>
    <row r="483" spans="6:24">
      <c r="F483" s="51"/>
      <c r="H483" s="51"/>
      <c r="L483" s="51"/>
      <c r="P483" s="51"/>
      <c r="T483" s="51"/>
      <c r="V483" s="51"/>
      <c r="X483" s="51"/>
    </row>
    <row r="484" spans="6:24">
      <c r="F484" s="51"/>
      <c r="H484" s="51"/>
      <c r="L484" s="51"/>
      <c r="P484" s="51"/>
      <c r="T484" s="51"/>
      <c r="V484" s="51"/>
      <c r="X484" s="51"/>
    </row>
    <row r="485" spans="6:24">
      <c r="F485" s="51"/>
      <c r="H485" s="51"/>
      <c r="L485" s="51"/>
      <c r="P485" s="51"/>
      <c r="T485" s="51"/>
      <c r="V485" s="51"/>
      <c r="X485" s="51"/>
    </row>
    <row r="486" spans="6:24">
      <c r="F486" s="51"/>
      <c r="H486" s="51"/>
      <c r="L486" s="51"/>
      <c r="P486" s="51"/>
      <c r="T486" s="51"/>
      <c r="V486" s="51"/>
      <c r="X486" s="51"/>
    </row>
    <row r="487" spans="6:24">
      <c r="F487" s="51"/>
      <c r="H487" s="51"/>
      <c r="L487" s="51"/>
      <c r="P487" s="51"/>
      <c r="T487" s="51"/>
      <c r="V487" s="51"/>
      <c r="X487" s="51"/>
    </row>
    <row r="488" spans="6:24">
      <c r="F488" s="51"/>
      <c r="H488" s="51"/>
      <c r="L488" s="51"/>
      <c r="P488" s="51"/>
      <c r="T488" s="51"/>
      <c r="V488" s="51"/>
      <c r="X488" s="51"/>
    </row>
    <row r="489" spans="6:24">
      <c r="F489" s="51"/>
      <c r="H489" s="51"/>
      <c r="L489" s="51"/>
      <c r="P489" s="51"/>
      <c r="T489" s="51"/>
      <c r="V489" s="51"/>
      <c r="X489" s="51"/>
    </row>
    <row r="490" spans="6:24">
      <c r="F490" s="51"/>
      <c r="H490" s="51"/>
      <c r="L490" s="51"/>
      <c r="P490" s="51"/>
      <c r="T490" s="51"/>
      <c r="V490" s="51"/>
      <c r="X490" s="51"/>
    </row>
    <row r="491" spans="6:24">
      <c r="F491" s="51"/>
      <c r="H491" s="51"/>
      <c r="L491" s="51"/>
      <c r="P491" s="51"/>
      <c r="T491" s="51"/>
      <c r="V491" s="51"/>
      <c r="X491" s="51"/>
    </row>
    <row r="492" spans="6:24">
      <c r="F492" s="51"/>
      <c r="H492" s="51"/>
      <c r="L492" s="51"/>
      <c r="P492" s="51"/>
      <c r="T492" s="51"/>
      <c r="V492" s="51"/>
      <c r="X492" s="51"/>
    </row>
    <row r="493" spans="6:24">
      <c r="F493" s="51"/>
      <c r="H493" s="51"/>
      <c r="L493" s="51"/>
      <c r="P493" s="51"/>
      <c r="T493" s="51"/>
      <c r="V493" s="51"/>
      <c r="X493" s="51"/>
    </row>
    <row r="494" spans="6:24">
      <c r="F494" s="51"/>
      <c r="H494" s="51"/>
      <c r="L494" s="51"/>
      <c r="P494" s="51"/>
      <c r="T494" s="51"/>
      <c r="V494" s="51"/>
      <c r="X494" s="51"/>
    </row>
    <row r="495" spans="6:24">
      <c r="F495" s="51"/>
      <c r="H495" s="51"/>
      <c r="L495" s="51"/>
      <c r="P495" s="51"/>
      <c r="T495" s="51"/>
      <c r="V495" s="51"/>
      <c r="X495" s="51"/>
    </row>
    <row r="496" spans="6:24">
      <c r="F496" s="51"/>
      <c r="H496" s="51"/>
      <c r="L496" s="51"/>
      <c r="P496" s="51"/>
      <c r="T496" s="51"/>
      <c r="V496" s="51"/>
      <c r="X496" s="51"/>
    </row>
    <row r="497" spans="6:24">
      <c r="F497" s="51"/>
      <c r="H497" s="51"/>
      <c r="L497" s="51"/>
      <c r="P497" s="51"/>
      <c r="T497" s="51"/>
      <c r="V497" s="51"/>
      <c r="X497" s="51"/>
    </row>
    <row r="498" spans="6:24">
      <c r="F498" s="51"/>
      <c r="H498" s="51"/>
      <c r="L498" s="51"/>
      <c r="P498" s="51"/>
      <c r="T498" s="51"/>
      <c r="V498" s="51"/>
      <c r="X498" s="51"/>
    </row>
    <row r="499" spans="6:24">
      <c r="F499" s="51"/>
      <c r="H499" s="51"/>
      <c r="L499" s="51"/>
      <c r="P499" s="51"/>
      <c r="T499" s="51"/>
      <c r="V499" s="51"/>
      <c r="X499" s="51"/>
    </row>
    <row r="500" spans="6:24">
      <c r="F500" s="51"/>
      <c r="H500" s="51"/>
      <c r="L500" s="51"/>
      <c r="P500" s="51"/>
      <c r="T500" s="51"/>
      <c r="V500" s="51"/>
      <c r="X500" s="51"/>
    </row>
    <row r="501" spans="6:24">
      <c r="F501" s="51"/>
      <c r="H501" s="51"/>
      <c r="L501" s="51"/>
      <c r="P501" s="51"/>
      <c r="T501" s="51"/>
      <c r="V501" s="51"/>
      <c r="X501" s="51"/>
    </row>
    <row r="502" spans="6:24">
      <c r="F502" s="51"/>
      <c r="H502" s="51"/>
      <c r="L502" s="51"/>
      <c r="P502" s="51"/>
      <c r="T502" s="51"/>
      <c r="V502" s="51"/>
      <c r="X502" s="51"/>
    </row>
    <row r="503" spans="6:24">
      <c r="F503" s="51"/>
      <c r="H503" s="51"/>
      <c r="L503" s="51"/>
      <c r="P503" s="51"/>
      <c r="T503" s="51"/>
      <c r="V503" s="51"/>
      <c r="X503" s="51"/>
    </row>
    <row r="504" spans="6:24">
      <c r="F504" s="51"/>
      <c r="H504" s="51"/>
      <c r="L504" s="51"/>
      <c r="P504" s="51"/>
      <c r="T504" s="51"/>
      <c r="V504" s="51"/>
      <c r="X504" s="51"/>
    </row>
    <row r="505" spans="6:24">
      <c r="F505" s="51"/>
      <c r="H505" s="51"/>
      <c r="L505" s="51"/>
      <c r="P505" s="51"/>
      <c r="T505" s="51"/>
      <c r="V505" s="51"/>
      <c r="X505" s="51"/>
    </row>
    <row r="506" spans="6:24">
      <c r="F506" s="51"/>
      <c r="H506" s="51"/>
      <c r="L506" s="51"/>
      <c r="P506" s="51"/>
      <c r="T506" s="51"/>
      <c r="V506" s="51"/>
      <c r="X506" s="51"/>
    </row>
    <row r="507" spans="6:24">
      <c r="F507" s="51"/>
      <c r="H507" s="51"/>
      <c r="L507" s="51"/>
      <c r="P507" s="51"/>
      <c r="T507" s="51"/>
      <c r="V507" s="51"/>
      <c r="X507" s="51"/>
    </row>
    <row r="508" spans="6:24">
      <c r="F508" s="51"/>
      <c r="H508" s="51"/>
      <c r="L508" s="51"/>
      <c r="P508" s="51"/>
      <c r="T508" s="51"/>
      <c r="V508" s="51"/>
      <c r="X508" s="51"/>
    </row>
    <row r="509" spans="6:24">
      <c r="F509" s="51"/>
      <c r="H509" s="51"/>
      <c r="L509" s="51"/>
      <c r="P509" s="51"/>
      <c r="T509" s="51"/>
      <c r="V509" s="51"/>
      <c r="X509" s="51"/>
    </row>
    <row r="510" spans="6:24">
      <c r="F510" s="51"/>
      <c r="H510" s="51"/>
      <c r="L510" s="51"/>
      <c r="P510" s="51"/>
      <c r="T510" s="51"/>
      <c r="V510" s="51"/>
      <c r="X510" s="51"/>
    </row>
    <row r="511" spans="6:24">
      <c r="F511" s="51"/>
      <c r="H511" s="51"/>
      <c r="L511" s="51"/>
      <c r="P511" s="51"/>
      <c r="T511" s="51"/>
      <c r="V511" s="51"/>
      <c r="X511" s="51"/>
    </row>
    <row r="512" spans="6:24">
      <c r="F512" s="51"/>
      <c r="H512" s="51"/>
      <c r="L512" s="51"/>
      <c r="P512" s="51"/>
      <c r="T512" s="51"/>
      <c r="V512" s="51"/>
      <c r="X512" s="51"/>
    </row>
    <row r="513" spans="6:24">
      <c r="F513" s="51"/>
      <c r="H513" s="51"/>
      <c r="L513" s="51"/>
      <c r="P513" s="51"/>
      <c r="T513" s="51"/>
      <c r="V513" s="51"/>
      <c r="X513" s="51"/>
    </row>
    <row r="514" spans="6:24">
      <c r="F514" s="51"/>
      <c r="H514" s="51"/>
      <c r="L514" s="51"/>
      <c r="P514" s="51"/>
      <c r="T514" s="51"/>
      <c r="V514" s="51"/>
      <c r="X514" s="51"/>
    </row>
    <row r="515" spans="6:24">
      <c r="F515" s="51"/>
      <c r="H515" s="51"/>
      <c r="L515" s="51"/>
      <c r="P515" s="51"/>
      <c r="T515" s="51"/>
      <c r="V515" s="51"/>
      <c r="X515" s="51"/>
    </row>
    <row r="516" spans="6:24">
      <c r="F516" s="51"/>
      <c r="H516" s="51"/>
      <c r="L516" s="51"/>
      <c r="P516" s="51"/>
      <c r="T516" s="51"/>
      <c r="V516" s="51"/>
      <c r="X516" s="51"/>
    </row>
    <row r="517" spans="6:24">
      <c r="F517" s="51"/>
      <c r="H517" s="51"/>
      <c r="L517" s="51"/>
      <c r="P517" s="51"/>
      <c r="T517" s="51"/>
      <c r="V517" s="51"/>
      <c r="X517" s="51"/>
    </row>
    <row r="518" spans="6:24">
      <c r="F518" s="51"/>
      <c r="H518" s="51"/>
      <c r="L518" s="51"/>
      <c r="P518" s="51"/>
      <c r="T518" s="51"/>
      <c r="V518" s="51"/>
      <c r="X518" s="51"/>
    </row>
    <row r="519" spans="6:24">
      <c r="F519" s="51"/>
      <c r="H519" s="51"/>
      <c r="L519" s="51"/>
      <c r="P519" s="51"/>
      <c r="T519" s="51"/>
      <c r="V519" s="51"/>
      <c r="X519" s="51"/>
    </row>
    <row r="520" spans="6:24">
      <c r="F520" s="51"/>
      <c r="H520" s="51"/>
      <c r="L520" s="51"/>
      <c r="P520" s="51"/>
      <c r="T520" s="51"/>
      <c r="V520" s="51"/>
      <c r="X520" s="51"/>
    </row>
    <row r="521" spans="6:24">
      <c r="F521" s="51"/>
      <c r="H521" s="51"/>
      <c r="L521" s="51"/>
      <c r="P521" s="51"/>
      <c r="T521" s="51"/>
      <c r="V521" s="51"/>
      <c r="X521" s="51"/>
    </row>
    <row r="522" spans="6:24">
      <c r="F522" s="51"/>
      <c r="H522" s="51"/>
      <c r="L522" s="51"/>
      <c r="P522" s="51"/>
      <c r="T522" s="51"/>
      <c r="V522" s="51"/>
      <c r="X522" s="51"/>
    </row>
    <row r="523" spans="6:24">
      <c r="F523" s="51"/>
      <c r="H523" s="51"/>
      <c r="L523" s="51"/>
      <c r="P523" s="51"/>
      <c r="T523" s="51"/>
      <c r="V523" s="51"/>
      <c r="X523" s="51"/>
    </row>
    <row r="524" spans="6:24">
      <c r="F524" s="51"/>
      <c r="H524" s="51"/>
      <c r="L524" s="51"/>
      <c r="P524" s="51"/>
      <c r="T524" s="51"/>
      <c r="V524" s="51"/>
      <c r="X524" s="51"/>
    </row>
    <row r="525" spans="6:24">
      <c r="F525" s="51"/>
      <c r="H525" s="51"/>
      <c r="L525" s="51"/>
      <c r="P525" s="51"/>
      <c r="T525" s="51"/>
      <c r="V525" s="51"/>
      <c r="X525" s="51"/>
    </row>
    <row r="526" spans="6:24">
      <c r="F526" s="51"/>
      <c r="H526" s="51"/>
      <c r="L526" s="51"/>
      <c r="P526" s="51"/>
      <c r="T526" s="51"/>
      <c r="V526" s="51"/>
      <c r="X526" s="51"/>
    </row>
    <row r="527" spans="6:24">
      <c r="F527" s="51"/>
      <c r="H527" s="51"/>
      <c r="L527" s="51"/>
      <c r="P527" s="51"/>
      <c r="T527" s="51"/>
      <c r="V527" s="51"/>
      <c r="X527" s="51"/>
    </row>
    <row r="528" spans="6:24">
      <c r="F528" s="51"/>
      <c r="H528" s="51"/>
      <c r="L528" s="51"/>
      <c r="P528" s="51"/>
      <c r="T528" s="51"/>
      <c r="V528" s="51"/>
      <c r="X528" s="51"/>
    </row>
    <row r="529" spans="6:24">
      <c r="F529" s="51"/>
      <c r="H529" s="51"/>
      <c r="L529" s="51"/>
      <c r="P529" s="51"/>
      <c r="T529" s="51"/>
      <c r="V529" s="51"/>
      <c r="X529" s="51"/>
    </row>
    <row r="530" spans="6:24">
      <c r="F530" s="51"/>
      <c r="H530" s="51"/>
      <c r="L530" s="51"/>
      <c r="P530" s="51"/>
      <c r="T530" s="51"/>
      <c r="V530" s="51"/>
      <c r="X530" s="51"/>
    </row>
    <row r="531" spans="6:24">
      <c r="F531" s="51"/>
      <c r="H531" s="51"/>
      <c r="L531" s="51"/>
      <c r="P531" s="51"/>
      <c r="T531" s="51"/>
      <c r="V531" s="51"/>
      <c r="X531" s="51"/>
    </row>
    <row r="532" spans="6:24">
      <c r="F532" s="51"/>
      <c r="H532" s="51"/>
      <c r="L532" s="51"/>
      <c r="P532" s="51"/>
      <c r="T532" s="51"/>
      <c r="V532" s="51"/>
      <c r="X532" s="51"/>
    </row>
    <row r="533" spans="6:24">
      <c r="F533" s="51"/>
      <c r="H533" s="51"/>
      <c r="L533" s="51"/>
      <c r="P533" s="51"/>
      <c r="T533" s="51"/>
      <c r="V533" s="51"/>
      <c r="X533" s="51"/>
    </row>
    <row r="534" spans="6:24">
      <c r="F534" s="51"/>
      <c r="H534" s="51"/>
      <c r="L534" s="51"/>
      <c r="P534" s="51"/>
      <c r="T534" s="51"/>
      <c r="V534" s="51"/>
      <c r="X534" s="51"/>
    </row>
    <row r="535" spans="6:24">
      <c r="F535" s="51"/>
      <c r="H535" s="51"/>
      <c r="L535" s="51"/>
      <c r="P535" s="51"/>
      <c r="T535" s="51"/>
      <c r="V535" s="51"/>
      <c r="X535" s="51"/>
    </row>
    <row r="536" spans="6:24">
      <c r="F536" s="51"/>
      <c r="H536" s="51"/>
      <c r="L536" s="51"/>
      <c r="P536" s="51"/>
      <c r="T536" s="51"/>
      <c r="V536" s="51"/>
      <c r="X536" s="51"/>
    </row>
    <row r="537" spans="6:24">
      <c r="F537" s="51"/>
      <c r="H537" s="51"/>
      <c r="L537" s="51"/>
      <c r="P537" s="51"/>
      <c r="T537" s="51"/>
      <c r="V537" s="51"/>
      <c r="X537" s="51"/>
    </row>
    <row r="538" spans="6:24">
      <c r="F538" s="51"/>
      <c r="H538" s="51"/>
      <c r="L538" s="51"/>
      <c r="P538" s="51"/>
      <c r="T538" s="51"/>
      <c r="V538" s="51"/>
      <c r="X538" s="51"/>
    </row>
    <row r="539" spans="6:24">
      <c r="F539" s="51"/>
      <c r="H539" s="51"/>
      <c r="L539" s="51"/>
      <c r="P539" s="51"/>
      <c r="T539" s="51"/>
      <c r="V539" s="51"/>
      <c r="X539" s="51"/>
    </row>
    <row r="540" spans="6:24">
      <c r="F540" s="51"/>
      <c r="H540" s="51"/>
      <c r="L540" s="51"/>
      <c r="P540" s="51"/>
      <c r="T540" s="51"/>
      <c r="V540" s="51"/>
      <c r="X540" s="51"/>
    </row>
    <row r="541" spans="6:24">
      <c r="F541" s="51"/>
      <c r="H541" s="51"/>
      <c r="L541" s="51"/>
      <c r="P541" s="51"/>
      <c r="T541" s="51"/>
      <c r="V541" s="51"/>
      <c r="X541" s="51"/>
    </row>
    <row r="542" spans="6:24">
      <c r="F542" s="51"/>
      <c r="H542" s="51"/>
      <c r="L542" s="51"/>
      <c r="P542" s="51"/>
      <c r="T542" s="51"/>
      <c r="V542" s="51"/>
      <c r="X542" s="51"/>
    </row>
    <row r="543" spans="6:24">
      <c r="F543" s="51"/>
      <c r="H543" s="51"/>
      <c r="L543" s="51"/>
      <c r="P543" s="51"/>
      <c r="T543" s="51"/>
      <c r="V543" s="51"/>
      <c r="X543" s="51"/>
    </row>
    <row r="544" spans="6:24">
      <c r="F544" s="51"/>
      <c r="H544" s="51"/>
      <c r="L544" s="51"/>
      <c r="P544" s="51"/>
      <c r="T544" s="51"/>
      <c r="V544" s="51"/>
      <c r="X544" s="51"/>
    </row>
    <row r="545" spans="6:24">
      <c r="F545" s="51"/>
      <c r="H545" s="51"/>
      <c r="L545" s="51"/>
      <c r="P545" s="51"/>
      <c r="T545" s="51"/>
      <c r="V545" s="51"/>
      <c r="X545" s="51"/>
    </row>
    <row r="546" spans="6:24">
      <c r="F546" s="51"/>
      <c r="H546" s="51"/>
      <c r="L546" s="51"/>
      <c r="P546" s="51"/>
      <c r="T546" s="51"/>
      <c r="V546" s="51"/>
      <c r="X546" s="51"/>
    </row>
    <row r="547" spans="6:24">
      <c r="F547" s="51"/>
      <c r="H547" s="51"/>
      <c r="L547" s="51"/>
      <c r="P547" s="51"/>
      <c r="T547" s="51"/>
      <c r="V547" s="51"/>
      <c r="X547" s="51"/>
    </row>
    <row r="548" spans="6:24">
      <c r="F548" s="51"/>
      <c r="H548" s="51"/>
      <c r="L548" s="51"/>
      <c r="P548" s="51"/>
      <c r="T548" s="51"/>
      <c r="V548" s="51"/>
      <c r="X548" s="51"/>
    </row>
    <row r="549" spans="6:24">
      <c r="F549" s="51"/>
      <c r="H549" s="51"/>
      <c r="L549" s="51"/>
      <c r="P549" s="51"/>
      <c r="T549" s="51"/>
      <c r="V549" s="51"/>
      <c r="X549" s="51"/>
    </row>
    <row r="550" spans="6:24">
      <c r="F550" s="51"/>
      <c r="H550" s="51"/>
      <c r="L550" s="51"/>
      <c r="P550" s="51"/>
      <c r="T550" s="51"/>
      <c r="V550" s="51"/>
      <c r="X550" s="51"/>
    </row>
    <row r="551" spans="6:24">
      <c r="F551" s="51"/>
      <c r="H551" s="51"/>
      <c r="L551" s="51"/>
      <c r="P551" s="51"/>
      <c r="T551" s="51"/>
      <c r="V551" s="51"/>
      <c r="X551" s="51"/>
    </row>
    <row r="552" spans="6:24">
      <c r="F552" s="51"/>
      <c r="H552" s="51"/>
      <c r="L552" s="51"/>
      <c r="P552" s="51"/>
      <c r="T552" s="51"/>
      <c r="V552" s="51"/>
      <c r="X552" s="51"/>
    </row>
    <row r="553" spans="6:24">
      <c r="F553" s="51"/>
      <c r="H553" s="51"/>
      <c r="L553" s="51"/>
      <c r="P553" s="51"/>
      <c r="T553" s="51"/>
      <c r="V553" s="51"/>
      <c r="X553" s="51"/>
    </row>
    <row r="554" spans="6:24">
      <c r="F554" s="51"/>
      <c r="H554" s="51"/>
      <c r="L554" s="51"/>
      <c r="P554" s="51"/>
      <c r="T554" s="51"/>
      <c r="V554" s="51"/>
      <c r="X554" s="51"/>
    </row>
    <row r="555" spans="6:24">
      <c r="F555" s="51"/>
      <c r="H555" s="51"/>
      <c r="L555" s="51"/>
      <c r="P555" s="51"/>
      <c r="T555" s="51"/>
      <c r="V555" s="51"/>
      <c r="X555" s="51"/>
    </row>
    <row r="556" spans="6:24">
      <c r="F556" s="51"/>
      <c r="H556" s="51"/>
      <c r="L556" s="51"/>
      <c r="P556" s="51"/>
      <c r="T556" s="51"/>
      <c r="V556" s="51"/>
      <c r="X556" s="51"/>
    </row>
    <row r="557" spans="6:24">
      <c r="F557" s="51"/>
      <c r="H557" s="51"/>
      <c r="L557" s="51"/>
      <c r="P557" s="51"/>
      <c r="T557" s="51"/>
      <c r="V557" s="51"/>
      <c r="X557" s="51"/>
    </row>
    <row r="558" spans="6:24">
      <c r="F558" s="51"/>
      <c r="H558" s="51"/>
      <c r="L558" s="51"/>
      <c r="P558" s="51"/>
      <c r="T558" s="51"/>
      <c r="V558" s="51"/>
      <c r="X558" s="51"/>
    </row>
    <row r="559" spans="6:24">
      <c r="F559" s="51"/>
      <c r="H559" s="51"/>
      <c r="L559" s="51"/>
      <c r="P559" s="51"/>
      <c r="T559" s="51"/>
      <c r="V559" s="51"/>
      <c r="X559" s="51"/>
    </row>
    <row r="560" spans="6:24">
      <c r="F560" s="51"/>
      <c r="H560" s="51"/>
      <c r="L560" s="51"/>
      <c r="P560" s="51"/>
      <c r="T560" s="51"/>
      <c r="V560" s="51"/>
      <c r="X560" s="51"/>
    </row>
    <row r="561" spans="6:24">
      <c r="F561" s="51"/>
      <c r="H561" s="51"/>
      <c r="L561" s="51"/>
      <c r="P561" s="51"/>
      <c r="T561" s="51"/>
      <c r="V561" s="51"/>
      <c r="X561" s="51"/>
    </row>
    <row r="562" spans="6:24">
      <c r="F562" s="51"/>
      <c r="H562" s="51"/>
      <c r="L562" s="51"/>
      <c r="P562" s="51"/>
      <c r="T562" s="51"/>
      <c r="V562" s="51"/>
      <c r="X562" s="51"/>
    </row>
    <row r="563" spans="6:24">
      <c r="F563" s="51"/>
      <c r="H563" s="51"/>
      <c r="L563" s="51"/>
      <c r="P563" s="51"/>
      <c r="T563" s="51"/>
      <c r="V563" s="51"/>
      <c r="X563" s="51"/>
    </row>
    <row r="564" spans="6:24">
      <c r="F564" s="51"/>
      <c r="H564" s="51"/>
      <c r="L564" s="51"/>
      <c r="P564" s="51"/>
      <c r="T564" s="51"/>
      <c r="V564" s="51"/>
      <c r="X564" s="51"/>
    </row>
    <row r="565" spans="6:24">
      <c r="F565" s="51"/>
      <c r="H565" s="51"/>
      <c r="L565" s="51"/>
      <c r="P565" s="51"/>
      <c r="T565" s="51"/>
      <c r="V565" s="51"/>
      <c r="X565" s="51"/>
    </row>
    <row r="566" spans="6:24">
      <c r="F566" s="51"/>
      <c r="H566" s="51"/>
      <c r="L566" s="51"/>
      <c r="P566" s="51"/>
      <c r="T566" s="51"/>
      <c r="V566" s="51"/>
      <c r="X566" s="51"/>
    </row>
    <row r="567" spans="6:24">
      <c r="F567" s="51"/>
      <c r="H567" s="51"/>
      <c r="L567" s="51"/>
      <c r="P567" s="51"/>
      <c r="T567" s="51"/>
      <c r="V567" s="51"/>
      <c r="X567" s="51"/>
    </row>
    <row r="568" spans="6:24">
      <c r="F568" s="51"/>
      <c r="H568" s="51"/>
      <c r="L568" s="51"/>
      <c r="P568" s="51"/>
      <c r="T568" s="51"/>
      <c r="V568" s="51"/>
      <c r="X568" s="51"/>
    </row>
    <row r="569" spans="6:24">
      <c r="F569" s="51"/>
      <c r="H569" s="51"/>
      <c r="L569" s="51"/>
      <c r="P569" s="51"/>
      <c r="T569" s="51"/>
      <c r="V569" s="51"/>
      <c r="X569" s="51"/>
    </row>
    <row r="570" spans="6:24">
      <c r="F570" s="51"/>
      <c r="H570" s="51"/>
      <c r="L570" s="51"/>
      <c r="P570" s="51"/>
      <c r="T570" s="51"/>
      <c r="V570" s="51"/>
      <c r="X570" s="51"/>
    </row>
    <row r="571" spans="6:24">
      <c r="F571" s="51"/>
      <c r="H571" s="51"/>
      <c r="L571" s="51"/>
      <c r="P571" s="51"/>
      <c r="T571" s="51"/>
      <c r="V571" s="51"/>
      <c r="X571" s="51"/>
    </row>
    <row r="572" spans="6:24">
      <c r="F572" s="51"/>
      <c r="H572" s="51"/>
      <c r="L572" s="51"/>
      <c r="P572" s="51"/>
      <c r="T572" s="51"/>
      <c r="V572" s="51"/>
      <c r="X572" s="51"/>
    </row>
    <row r="573" spans="6:24">
      <c r="F573" s="51"/>
      <c r="H573" s="51"/>
      <c r="L573" s="51"/>
      <c r="P573" s="51"/>
      <c r="T573" s="51"/>
      <c r="V573" s="51"/>
      <c r="X573" s="51"/>
    </row>
    <row r="574" spans="6:24">
      <c r="F574" s="51"/>
      <c r="H574" s="51"/>
      <c r="L574" s="51"/>
      <c r="P574" s="51"/>
      <c r="T574" s="51"/>
      <c r="V574" s="51"/>
      <c r="X574" s="51"/>
    </row>
    <row r="575" spans="6:24">
      <c r="F575" s="51"/>
      <c r="H575" s="51"/>
      <c r="L575" s="51"/>
      <c r="P575" s="51"/>
      <c r="T575" s="51"/>
      <c r="V575" s="51"/>
      <c r="X575" s="51"/>
    </row>
    <row r="576" spans="6:24">
      <c r="F576" s="51"/>
      <c r="H576" s="51"/>
      <c r="L576" s="51"/>
      <c r="P576" s="51"/>
      <c r="T576" s="51"/>
      <c r="V576" s="51"/>
      <c r="X576" s="51"/>
    </row>
    <row r="577" spans="6:24">
      <c r="F577" s="51"/>
      <c r="H577" s="51"/>
      <c r="L577" s="51"/>
      <c r="P577" s="51"/>
      <c r="T577" s="51"/>
      <c r="V577" s="51"/>
      <c r="X577" s="51"/>
    </row>
    <row r="578" spans="6:24">
      <c r="F578" s="51"/>
      <c r="H578" s="51"/>
      <c r="L578" s="51"/>
      <c r="P578" s="51"/>
      <c r="T578" s="51"/>
      <c r="V578" s="51"/>
      <c r="X578" s="51"/>
    </row>
    <row r="579" spans="6:24">
      <c r="F579" s="51"/>
      <c r="H579" s="51"/>
      <c r="L579" s="51"/>
      <c r="P579" s="51"/>
      <c r="T579" s="51"/>
      <c r="V579" s="51"/>
      <c r="X579" s="51"/>
    </row>
    <row r="580" spans="6:24">
      <c r="F580" s="51"/>
      <c r="H580" s="51"/>
      <c r="L580" s="51"/>
      <c r="P580" s="51"/>
      <c r="T580" s="51"/>
      <c r="V580" s="51"/>
      <c r="X580" s="51"/>
    </row>
    <row r="581" spans="6:24">
      <c r="F581" s="51"/>
      <c r="H581" s="51"/>
      <c r="L581" s="51"/>
      <c r="P581" s="51"/>
      <c r="T581" s="51"/>
      <c r="V581" s="51"/>
      <c r="X581" s="51"/>
    </row>
    <row r="582" spans="6:24">
      <c r="F582" s="51"/>
      <c r="H582" s="51"/>
      <c r="L582" s="51"/>
      <c r="P582" s="51"/>
      <c r="T582" s="51"/>
      <c r="V582" s="51"/>
      <c r="X582" s="51"/>
    </row>
    <row r="583" spans="6:24">
      <c r="F583" s="51"/>
      <c r="H583" s="51"/>
      <c r="L583" s="51"/>
      <c r="P583" s="51"/>
      <c r="T583" s="51"/>
      <c r="V583" s="51"/>
      <c r="X583" s="51"/>
    </row>
    <row r="584" spans="6:24">
      <c r="F584" s="51"/>
      <c r="H584" s="51"/>
      <c r="L584" s="51"/>
      <c r="P584" s="51"/>
      <c r="T584" s="51"/>
      <c r="V584" s="51"/>
      <c r="X584" s="51"/>
    </row>
    <row r="585" spans="6:24">
      <c r="F585" s="51"/>
      <c r="H585" s="51"/>
      <c r="L585" s="51"/>
      <c r="P585" s="51"/>
      <c r="T585" s="51"/>
      <c r="V585" s="51"/>
      <c r="X585" s="51"/>
    </row>
    <row r="586" spans="6:24">
      <c r="F586" s="51"/>
      <c r="H586" s="51"/>
      <c r="L586" s="51"/>
      <c r="P586" s="51"/>
      <c r="T586" s="51"/>
      <c r="V586" s="51"/>
      <c r="X586" s="51"/>
    </row>
    <row r="587" spans="6:24">
      <c r="F587" s="51"/>
      <c r="H587" s="51"/>
      <c r="L587" s="51"/>
      <c r="P587" s="51"/>
      <c r="T587" s="51"/>
      <c r="V587" s="51"/>
      <c r="X587" s="51"/>
    </row>
    <row r="588" spans="6:24">
      <c r="F588" s="51"/>
      <c r="H588" s="51"/>
      <c r="L588" s="51"/>
      <c r="P588" s="51"/>
      <c r="T588" s="51"/>
      <c r="V588" s="51"/>
      <c r="X588" s="51"/>
    </row>
    <row r="589" spans="6:24">
      <c r="F589" s="51"/>
      <c r="H589" s="51"/>
      <c r="L589" s="51"/>
      <c r="P589" s="51"/>
      <c r="T589" s="51"/>
      <c r="V589" s="51"/>
      <c r="X589" s="51"/>
    </row>
    <row r="590" spans="6:24">
      <c r="F590" s="51"/>
      <c r="H590" s="51"/>
      <c r="L590" s="51"/>
      <c r="P590" s="51"/>
      <c r="T590" s="51"/>
      <c r="V590" s="51"/>
      <c r="X590" s="51"/>
    </row>
    <row r="591" spans="6:24">
      <c r="F591" s="51"/>
      <c r="H591" s="51"/>
      <c r="L591" s="51"/>
      <c r="P591" s="51"/>
      <c r="T591" s="51"/>
      <c r="V591" s="51"/>
      <c r="X591" s="51"/>
    </row>
    <row r="592" spans="6:24">
      <c r="F592" s="51"/>
      <c r="H592" s="51"/>
      <c r="L592" s="51"/>
      <c r="P592" s="51"/>
      <c r="T592" s="51"/>
      <c r="V592" s="51"/>
      <c r="X592" s="51"/>
    </row>
    <row r="593" spans="6:24">
      <c r="F593" s="51"/>
      <c r="H593" s="51"/>
      <c r="L593" s="51"/>
      <c r="P593" s="51"/>
      <c r="T593" s="51"/>
      <c r="V593" s="51"/>
      <c r="X593" s="51"/>
    </row>
    <row r="594" spans="6:24">
      <c r="F594" s="51"/>
      <c r="H594" s="51"/>
      <c r="L594" s="51"/>
      <c r="P594" s="51"/>
      <c r="T594" s="51"/>
      <c r="V594" s="51"/>
      <c r="X594" s="51"/>
    </row>
    <row r="595" spans="6:24">
      <c r="F595" s="51"/>
      <c r="H595" s="51"/>
      <c r="L595" s="51"/>
      <c r="P595" s="51"/>
      <c r="T595" s="51"/>
      <c r="V595" s="51"/>
      <c r="X595" s="51"/>
    </row>
    <row r="596" spans="6:24">
      <c r="F596" s="51"/>
      <c r="H596" s="51"/>
      <c r="L596" s="51"/>
      <c r="P596" s="51"/>
      <c r="T596" s="51"/>
      <c r="V596" s="51"/>
      <c r="X596" s="51"/>
    </row>
    <row r="597" spans="6:24">
      <c r="F597" s="51"/>
      <c r="H597" s="51"/>
      <c r="L597" s="51"/>
      <c r="P597" s="51"/>
      <c r="T597" s="51"/>
      <c r="V597" s="51"/>
      <c r="X597" s="51"/>
    </row>
    <row r="598" spans="6:24">
      <c r="F598" s="51"/>
      <c r="H598" s="51"/>
      <c r="L598" s="51"/>
      <c r="P598" s="51"/>
      <c r="T598" s="51"/>
      <c r="V598" s="51"/>
      <c r="X598" s="51"/>
    </row>
    <row r="599" spans="6:24">
      <c r="F599" s="51"/>
      <c r="H599" s="51"/>
      <c r="L599" s="51"/>
      <c r="P599" s="51"/>
      <c r="T599" s="51"/>
      <c r="V599" s="51"/>
      <c r="X599" s="51"/>
    </row>
    <row r="600" spans="6:24">
      <c r="F600" s="51"/>
      <c r="H600" s="51"/>
      <c r="L600" s="51"/>
      <c r="P600" s="51"/>
      <c r="T600" s="51"/>
      <c r="V600" s="51"/>
      <c r="X600" s="51"/>
    </row>
    <row r="601" spans="6:24">
      <c r="F601" s="51"/>
      <c r="H601" s="51"/>
      <c r="L601" s="51"/>
      <c r="P601" s="51"/>
      <c r="T601" s="51"/>
      <c r="V601" s="51"/>
      <c r="X601" s="51"/>
    </row>
    <row r="602" spans="6:24">
      <c r="F602" s="51"/>
      <c r="H602" s="51"/>
      <c r="L602" s="51"/>
      <c r="P602" s="51"/>
      <c r="T602" s="51"/>
      <c r="V602" s="51"/>
      <c r="X602" s="51"/>
    </row>
    <row r="603" spans="6:24">
      <c r="F603" s="51"/>
      <c r="H603" s="51"/>
      <c r="L603" s="51"/>
      <c r="P603" s="51"/>
      <c r="T603" s="51"/>
      <c r="V603" s="51"/>
      <c r="X603" s="51"/>
    </row>
    <row r="604" spans="6:24">
      <c r="F604" s="51"/>
      <c r="H604" s="51"/>
      <c r="L604" s="51"/>
      <c r="P604" s="51"/>
      <c r="T604" s="51"/>
      <c r="V604" s="51"/>
      <c r="X604" s="51"/>
    </row>
    <row r="605" spans="6:24">
      <c r="F605" s="51"/>
      <c r="H605" s="51"/>
      <c r="L605" s="51"/>
      <c r="P605" s="51"/>
      <c r="T605" s="51"/>
      <c r="V605" s="51"/>
      <c r="X605" s="51"/>
    </row>
    <row r="606" spans="6:24">
      <c r="F606" s="51"/>
      <c r="H606" s="51"/>
      <c r="L606" s="51"/>
      <c r="P606" s="51"/>
      <c r="T606" s="51"/>
      <c r="V606" s="51"/>
      <c r="X606" s="51"/>
    </row>
    <row r="607" spans="6:24">
      <c r="F607" s="51"/>
      <c r="H607" s="51"/>
      <c r="L607" s="51"/>
      <c r="P607" s="51"/>
      <c r="T607" s="51"/>
      <c r="V607" s="51"/>
      <c r="X607" s="51"/>
    </row>
    <row r="608" spans="6:24">
      <c r="F608" s="51"/>
      <c r="H608" s="51"/>
      <c r="L608" s="51"/>
      <c r="P608" s="51"/>
      <c r="T608" s="51"/>
      <c r="V608" s="51"/>
      <c r="X608" s="51"/>
    </row>
    <row r="609" spans="6:24">
      <c r="F609" s="51"/>
      <c r="H609" s="51"/>
      <c r="L609" s="51"/>
      <c r="P609" s="51"/>
      <c r="T609" s="51"/>
      <c r="V609" s="51"/>
      <c r="X609" s="51"/>
    </row>
    <row r="610" spans="6:24">
      <c r="F610" s="51"/>
      <c r="H610" s="51"/>
      <c r="L610" s="51"/>
      <c r="P610" s="51"/>
      <c r="T610" s="51"/>
      <c r="V610" s="51"/>
      <c r="X610" s="51"/>
    </row>
    <row r="611" spans="6:24">
      <c r="F611" s="51"/>
      <c r="H611" s="51"/>
      <c r="L611" s="51"/>
      <c r="P611" s="51"/>
      <c r="T611" s="51"/>
      <c r="V611" s="51"/>
      <c r="X611" s="51"/>
    </row>
    <row r="612" spans="6:24">
      <c r="F612" s="51"/>
      <c r="H612" s="51"/>
      <c r="L612" s="51"/>
      <c r="P612" s="51"/>
      <c r="T612" s="51"/>
      <c r="V612" s="51"/>
      <c r="X612" s="51"/>
    </row>
    <row r="613" spans="6:24">
      <c r="F613" s="51"/>
      <c r="H613" s="51"/>
      <c r="L613" s="51"/>
      <c r="P613" s="51"/>
      <c r="T613" s="51"/>
      <c r="V613" s="51"/>
      <c r="X613" s="51"/>
    </row>
    <row r="614" spans="6:24">
      <c r="F614" s="51"/>
      <c r="H614" s="51"/>
      <c r="L614" s="51"/>
      <c r="P614" s="51"/>
      <c r="T614" s="51"/>
      <c r="V614" s="51"/>
      <c r="X614" s="51"/>
    </row>
    <row r="615" spans="6:24">
      <c r="F615" s="51"/>
      <c r="H615" s="51"/>
      <c r="L615" s="51"/>
      <c r="P615" s="51"/>
      <c r="T615" s="51"/>
      <c r="V615" s="51"/>
      <c r="X615" s="51"/>
    </row>
    <row r="616" spans="6:24">
      <c r="F616" s="51"/>
      <c r="H616" s="51"/>
      <c r="L616" s="51"/>
      <c r="P616" s="51"/>
      <c r="T616" s="51"/>
      <c r="V616" s="51"/>
      <c r="X616" s="51"/>
    </row>
    <row r="617" spans="6:24">
      <c r="F617" s="51"/>
      <c r="H617" s="51"/>
      <c r="L617" s="51"/>
      <c r="P617" s="51"/>
      <c r="T617" s="51"/>
      <c r="V617" s="51"/>
      <c r="X617" s="51"/>
    </row>
    <row r="618" spans="6:24">
      <c r="F618" s="51"/>
      <c r="H618" s="51"/>
      <c r="L618" s="51"/>
      <c r="P618" s="51"/>
      <c r="T618" s="51"/>
      <c r="V618" s="51"/>
      <c r="X618" s="51"/>
    </row>
    <row r="619" spans="6:24">
      <c r="F619" s="51"/>
      <c r="H619" s="51"/>
      <c r="L619" s="51"/>
      <c r="P619" s="51"/>
      <c r="T619" s="51"/>
      <c r="V619" s="51"/>
      <c r="X619" s="51"/>
    </row>
    <row r="620" spans="6:24">
      <c r="F620" s="51"/>
      <c r="H620" s="51"/>
      <c r="L620" s="51"/>
      <c r="P620" s="51"/>
      <c r="T620" s="51"/>
      <c r="V620" s="51"/>
      <c r="X620" s="51"/>
    </row>
    <row r="621" spans="6:24">
      <c r="F621" s="51"/>
      <c r="H621" s="51"/>
      <c r="L621" s="51"/>
      <c r="P621" s="51"/>
      <c r="T621" s="51"/>
      <c r="V621" s="51"/>
      <c r="X621" s="51"/>
    </row>
    <row r="622" spans="6:24">
      <c r="F622" s="51"/>
      <c r="H622" s="51"/>
      <c r="L622" s="51"/>
      <c r="P622" s="51"/>
      <c r="T622" s="51"/>
      <c r="V622" s="51"/>
      <c r="X622" s="51"/>
    </row>
    <row r="623" spans="6:24">
      <c r="F623" s="51"/>
      <c r="H623" s="51"/>
      <c r="L623" s="51"/>
      <c r="P623" s="51"/>
      <c r="T623" s="51"/>
      <c r="V623" s="51"/>
      <c r="X623" s="51"/>
    </row>
    <row r="624" spans="6:24">
      <c r="F624" s="51"/>
      <c r="H624" s="51"/>
      <c r="L624" s="51"/>
      <c r="P624" s="51"/>
      <c r="T624" s="51"/>
      <c r="V624" s="51"/>
      <c r="X624" s="51"/>
    </row>
    <row r="625" spans="6:24">
      <c r="F625" s="51"/>
      <c r="H625" s="51"/>
      <c r="L625" s="51"/>
      <c r="P625" s="51"/>
      <c r="T625" s="51"/>
      <c r="V625" s="51"/>
      <c r="X625" s="51"/>
    </row>
    <row r="626" spans="6:24">
      <c r="F626" s="51"/>
      <c r="H626" s="51"/>
      <c r="L626" s="51"/>
      <c r="P626" s="51"/>
      <c r="T626" s="51"/>
      <c r="V626" s="51"/>
      <c r="X626" s="51"/>
    </row>
    <row r="627" spans="6:24">
      <c r="F627" s="51"/>
      <c r="H627" s="51"/>
      <c r="L627" s="51"/>
      <c r="P627" s="51"/>
      <c r="T627" s="51"/>
      <c r="V627" s="51"/>
      <c r="X627" s="51"/>
    </row>
    <row r="628" spans="6:24">
      <c r="F628" s="51"/>
      <c r="H628" s="51"/>
      <c r="L628" s="51"/>
      <c r="P628" s="51"/>
      <c r="T628" s="51"/>
      <c r="V628" s="51"/>
      <c r="X628" s="51"/>
    </row>
    <row r="629" spans="6:24">
      <c r="F629" s="51"/>
      <c r="H629" s="51"/>
      <c r="L629" s="51"/>
      <c r="P629" s="51"/>
      <c r="T629" s="51"/>
      <c r="V629" s="51"/>
      <c r="X629" s="51"/>
    </row>
    <row r="630" spans="6:24">
      <c r="F630" s="51"/>
      <c r="H630" s="51"/>
      <c r="L630" s="51"/>
      <c r="P630" s="51"/>
      <c r="T630" s="51"/>
      <c r="V630" s="51"/>
      <c r="X630" s="51"/>
    </row>
    <row r="631" spans="6:24">
      <c r="F631" s="51"/>
      <c r="H631" s="51"/>
      <c r="L631" s="51"/>
      <c r="P631" s="51"/>
      <c r="T631" s="51"/>
      <c r="V631" s="51"/>
      <c r="X631" s="51"/>
    </row>
    <row r="632" spans="6:24">
      <c r="F632" s="51"/>
      <c r="H632" s="51"/>
      <c r="L632" s="51"/>
      <c r="P632" s="51"/>
      <c r="T632" s="51"/>
      <c r="V632" s="51"/>
      <c r="X632" s="51"/>
    </row>
    <row r="633" spans="6:24">
      <c r="F633" s="51"/>
      <c r="H633" s="51"/>
      <c r="L633" s="51"/>
      <c r="P633" s="51"/>
      <c r="T633" s="51"/>
      <c r="V633" s="51"/>
      <c r="X633" s="51"/>
    </row>
    <row r="634" spans="6:24">
      <c r="F634" s="51"/>
      <c r="H634" s="51"/>
      <c r="L634" s="51"/>
      <c r="P634" s="51"/>
      <c r="T634" s="51"/>
      <c r="V634" s="51"/>
      <c r="X634" s="51"/>
    </row>
    <row r="635" spans="6:24">
      <c r="F635" s="51"/>
      <c r="H635" s="51"/>
      <c r="L635" s="51"/>
      <c r="P635" s="51"/>
      <c r="T635" s="51"/>
      <c r="V635" s="51"/>
      <c r="X635" s="51"/>
    </row>
    <row r="636" spans="6:24">
      <c r="F636" s="51"/>
      <c r="H636" s="51"/>
      <c r="L636" s="51"/>
      <c r="P636" s="51"/>
      <c r="T636" s="51"/>
      <c r="V636" s="51"/>
      <c r="X636" s="51"/>
    </row>
    <row r="637" spans="6:24">
      <c r="F637" s="51"/>
      <c r="H637" s="51"/>
      <c r="L637" s="51"/>
      <c r="P637" s="51"/>
      <c r="T637" s="51"/>
      <c r="V637" s="51"/>
      <c r="X637" s="51"/>
    </row>
    <row r="638" spans="6:24">
      <c r="F638" s="51"/>
      <c r="H638" s="51"/>
      <c r="L638" s="51"/>
      <c r="P638" s="51"/>
      <c r="T638" s="51"/>
      <c r="V638" s="51"/>
      <c r="X638" s="51"/>
    </row>
    <row r="639" spans="6:24">
      <c r="F639" s="51"/>
      <c r="H639" s="51"/>
      <c r="L639" s="51"/>
      <c r="P639" s="51"/>
      <c r="T639" s="51"/>
      <c r="V639" s="51"/>
      <c r="X639" s="51"/>
    </row>
    <row r="640" spans="6:24">
      <c r="F640" s="51"/>
      <c r="H640" s="51"/>
      <c r="L640" s="51"/>
      <c r="P640" s="51"/>
      <c r="T640" s="51"/>
      <c r="V640" s="51"/>
      <c r="X640" s="51"/>
    </row>
    <row r="641" spans="6:24">
      <c r="F641" s="51"/>
      <c r="H641" s="51"/>
      <c r="L641" s="51"/>
      <c r="P641" s="51"/>
      <c r="T641" s="51"/>
      <c r="V641" s="51"/>
      <c r="X641" s="51"/>
    </row>
    <row r="642" spans="6:24">
      <c r="F642" s="51"/>
      <c r="H642" s="51"/>
      <c r="L642" s="51"/>
      <c r="P642" s="51"/>
      <c r="T642" s="51"/>
      <c r="V642" s="51"/>
      <c r="X642" s="51"/>
    </row>
    <row r="643" spans="6:24">
      <c r="F643" s="51"/>
      <c r="H643" s="51"/>
      <c r="L643" s="51"/>
      <c r="P643" s="51"/>
      <c r="T643" s="51"/>
      <c r="V643" s="51"/>
      <c r="X643" s="51"/>
    </row>
    <row r="644" spans="6:24">
      <c r="F644" s="51"/>
      <c r="H644" s="51"/>
      <c r="L644" s="51"/>
      <c r="P644" s="51"/>
      <c r="T644" s="51"/>
      <c r="V644" s="51"/>
      <c r="X644" s="51"/>
    </row>
    <row r="645" spans="6:24">
      <c r="F645" s="51"/>
      <c r="H645" s="51"/>
      <c r="L645" s="51"/>
      <c r="P645" s="51"/>
      <c r="T645" s="51"/>
      <c r="V645" s="51"/>
      <c r="X645" s="51"/>
    </row>
    <row r="646" spans="6:24">
      <c r="F646" s="51"/>
      <c r="H646" s="51"/>
      <c r="L646" s="51"/>
      <c r="P646" s="51"/>
      <c r="T646" s="51"/>
      <c r="V646" s="51"/>
      <c r="X646" s="51"/>
    </row>
    <row r="647" spans="6:24">
      <c r="F647" s="51"/>
      <c r="H647" s="51"/>
      <c r="L647" s="51"/>
      <c r="P647" s="51"/>
      <c r="T647" s="51"/>
      <c r="V647" s="51"/>
      <c r="X647" s="51"/>
    </row>
    <row r="648" spans="6:24">
      <c r="F648" s="51"/>
      <c r="H648" s="51"/>
      <c r="L648" s="51"/>
      <c r="P648" s="51"/>
      <c r="T648" s="51"/>
      <c r="V648" s="51"/>
      <c r="X648" s="51"/>
    </row>
    <row r="649" spans="6:24">
      <c r="F649" s="51"/>
      <c r="H649" s="51"/>
      <c r="L649" s="51"/>
      <c r="P649" s="51"/>
      <c r="T649" s="51"/>
      <c r="V649" s="51"/>
      <c r="X649" s="51"/>
    </row>
    <row r="650" spans="6:24">
      <c r="F650" s="51"/>
      <c r="H650" s="51"/>
      <c r="L650" s="51"/>
      <c r="P650" s="51"/>
      <c r="T650" s="51"/>
      <c r="V650" s="51"/>
      <c r="X650" s="51"/>
    </row>
    <row r="651" spans="6:24">
      <c r="F651" s="51"/>
      <c r="H651" s="51"/>
      <c r="L651" s="51"/>
      <c r="P651" s="51"/>
      <c r="T651" s="51"/>
      <c r="V651" s="51"/>
      <c r="X651" s="51"/>
    </row>
    <row r="652" spans="6:24">
      <c r="F652" s="51"/>
      <c r="H652" s="51"/>
      <c r="L652" s="51"/>
      <c r="P652" s="51"/>
      <c r="T652" s="51"/>
      <c r="V652" s="51"/>
      <c r="X652" s="51"/>
    </row>
    <row r="653" spans="6:24">
      <c r="F653" s="51"/>
      <c r="H653" s="51"/>
      <c r="L653" s="51"/>
      <c r="P653" s="51"/>
      <c r="T653" s="51"/>
      <c r="V653" s="51"/>
      <c r="X653" s="51"/>
    </row>
    <row r="654" spans="6:24">
      <c r="F654" s="51"/>
      <c r="H654" s="51"/>
      <c r="L654" s="51"/>
      <c r="P654" s="51"/>
      <c r="T654" s="51"/>
      <c r="V654" s="51"/>
      <c r="X654" s="51"/>
    </row>
    <row r="655" spans="6:24">
      <c r="F655" s="51"/>
      <c r="H655" s="51"/>
      <c r="L655" s="51"/>
      <c r="P655" s="51"/>
      <c r="T655" s="51"/>
      <c r="V655" s="51"/>
      <c r="X655" s="51"/>
    </row>
    <row r="656" spans="6:24">
      <c r="F656" s="51"/>
      <c r="H656" s="51"/>
      <c r="L656" s="51"/>
      <c r="P656" s="51"/>
      <c r="T656" s="51"/>
      <c r="V656" s="51"/>
      <c r="X656" s="51"/>
    </row>
    <row r="657" spans="6:24">
      <c r="F657" s="51"/>
      <c r="H657" s="51"/>
      <c r="L657" s="51"/>
      <c r="P657" s="51"/>
      <c r="T657" s="51"/>
      <c r="V657" s="51"/>
      <c r="X657" s="51"/>
    </row>
    <row r="658" spans="6:24">
      <c r="F658" s="51"/>
      <c r="H658" s="51"/>
      <c r="L658" s="51"/>
      <c r="P658" s="51"/>
      <c r="T658" s="51"/>
      <c r="V658" s="51"/>
      <c r="X658" s="51"/>
    </row>
    <row r="659" spans="6:24">
      <c r="F659" s="51"/>
      <c r="H659" s="51"/>
      <c r="L659" s="51"/>
      <c r="P659" s="51"/>
      <c r="T659" s="51"/>
      <c r="V659" s="51"/>
      <c r="X659" s="51"/>
    </row>
    <row r="660" spans="6:24">
      <c r="F660" s="51"/>
      <c r="H660" s="51"/>
      <c r="L660" s="51"/>
      <c r="P660" s="51"/>
      <c r="T660" s="51"/>
      <c r="V660" s="51"/>
      <c r="X660" s="51"/>
    </row>
    <row r="661" spans="6:24">
      <c r="F661" s="51"/>
      <c r="H661" s="51"/>
      <c r="L661" s="51"/>
      <c r="P661" s="51"/>
      <c r="T661" s="51"/>
      <c r="V661" s="51"/>
      <c r="X661" s="51"/>
    </row>
    <row r="662" spans="6:24">
      <c r="F662" s="51"/>
      <c r="H662" s="51"/>
      <c r="L662" s="51"/>
      <c r="P662" s="51"/>
      <c r="T662" s="51"/>
      <c r="V662" s="51"/>
      <c r="X662" s="51"/>
    </row>
    <row r="663" spans="6:24">
      <c r="F663" s="51"/>
      <c r="H663" s="51"/>
      <c r="L663" s="51"/>
      <c r="P663" s="51"/>
      <c r="T663" s="51"/>
      <c r="V663" s="51"/>
      <c r="X663" s="51"/>
    </row>
    <row r="664" spans="6:24">
      <c r="F664" s="51"/>
      <c r="H664" s="51"/>
      <c r="L664" s="51"/>
      <c r="P664" s="51"/>
      <c r="T664" s="51"/>
      <c r="V664" s="51"/>
      <c r="X664" s="51"/>
    </row>
    <row r="665" spans="6:24">
      <c r="F665" s="51"/>
      <c r="H665" s="51"/>
      <c r="L665" s="51"/>
      <c r="P665" s="51"/>
      <c r="T665" s="51"/>
      <c r="V665" s="51"/>
      <c r="X665" s="51"/>
    </row>
    <row r="666" spans="6:24">
      <c r="F666" s="51"/>
      <c r="H666" s="51"/>
      <c r="L666" s="51"/>
      <c r="P666" s="51"/>
      <c r="T666" s="51"/>
      <c r="V666" s="51"/>
      <c r="X666" s="51"/>
    </row>
    <row r="667" spans="6:24">
      <c r="F667" s="51"/>
      <c r="H667" s="51"/>
      <c r="L667" s="51"/>
      <c r="P667" s="51"/>
      <c r="T667" s="51"/>
      <c r="V667" s="51"/>
      <c r="X667" s="51"/>
    </row>
    <row r="668" spans="6:24">
      <c r="F668" s="51"/>
      <c r="H668" s="51"/>
      <c r="L668" s="51"/>
      <c r="P668" s="51"/>
      <c r="T668" s="51"/>
      <c r="V668" s="51"/>
      <c r="X668" s="51"/>
    </row>
    <row r="669" spans="6:24">
      <c r="F669" s="51"/>
      <c r="H669" s="51"/>
      <c r="L669" s="51"/>
      <c r="P669" s="51"/>
      <c r="T669" s="51"/>
      <c r="V669" s="51"/>
      <c r="X669" s="51"/>
    </row>
    <row r="670" spans="6:24">
      <c r="F670" s="51"/>
      <c r="H670" s="51"/>
      <c r="L670" s="51"/>
      <c r="P670" s="51"/>
      <c r="T670" s="51"/>
      <c r="V670" s="51"/>
      <c r="X670" s="51"/>
    </row>
    <row r="671" spans="6:24">
      <c r="F671" s="51"/>
      <c r="H671" s="51"/>
      <c r="L671" s="51"/>
      <c r="P671" s="51"/>
      <c r="T671" s="51"/>
      <c r="V671" s="51"/>
      <c r="X671" s="51"/>
    </row>
    <row r="672" spans="6:24">
      <c r="F672" s="51"/>
      <c r="H672" s="51"/>
      <c r="L672" s="51"/>
      <c r="P672" s="51"/>
      <c r="T672" s="51"/>
      <c r="V672" s="51"/>
      <c r="X672" s="51"/>
    </row>
    <row r="673" spans="6:24">
      <c r="F673" s="51"/>
      <c r="H673" s="51"/>
      <c r="L673" s="51"/>
      <c r="P673" s="51"/>
      <c r="T673" s="51"/>
      <c r="V673" s="51"/>
      <c r="X673" s="51"/>
    </row>
    <row r="674" spans="6:24">
      <c r="F674" s="51"/>
      <c r="H674" s="51"/>
      <c r="L674" s="51"/>
      <c r="P674" s="51"/>
      <c r="T674" s="51"/>
      <c r="V674" s="51"/>
      <c r="X674" s="51"/>
    </row>
    <row r="675" spans="6:24">
      <c r="F675" s="51"/>
      <c r="H675" s="51"/>
      <c r="L675" s="51"/>
      <c r="P675" s="51"/>
      <c r="T675" s="51"/>
      <c r="V675" s="51"/>
      <c r="X675" s="51"/>
    </row>
    <row r="676" spans="6:24">
      <c r="F676" s="51"/>
      <c r="H676" s="51"/>
      <c r="L676" s="51"/>
      <c r="P676" s="51"/>
      <c r="T676" s="51"/>
      <c r="V676" s="51"/>
      <c r="X676" s="51"/>
    </row>
    <row r="677" spans="6:24">
      <c r="F677" s="51"/>
      <c r="H677" s="51"/>
      <c r="L677" s="51"/>
      <c r="P677" s="51"/>
      <c r="T677" s="51"/>
      <c r="V677" s="51"/>
      <c r="X677" s="51"/>
    </row>
    <row r="678" spans="6:24">
      <c r="F678" s="51"/>
      <c r="H678" s="51"/>
      <c r="L678" s="51"/>
      <c r="P678" s="51"/>
      <c r="T678" s="51"/>
      <c r="V678" s="51"/>
      <c r="X678" s="51"/>
    </row>
    <row r="679" spans="6:24">
      <c r="F679" s="51"/>
      <c r="H679" s="51"/>
      <c r="L679" s="51"/>
      <c r="P679" s="51"/>
      <c r="T679" s="51"/>
      <c r="V679" s="51"/>
      <c r="X679" s="51"/>
    </row>
    <row r="680" spans="6:24">
      <c r="F680" s="51"/>
      <c r="H680" s="51"/>
      <c r="L680" s="51"/>
      <c r="P680" s="51"/>
      <c r="T680" s="51"/>
      <c r="V680" s="51"/>
      <c r="X680" s="51"/>
    </row>
    <row r="681" spans="6:24">
      <c r="F681" s="51"/>
      <c r="H681" s="51"/>
      <c r="L681" s="51"/>
      <c r="P681" s="51"/>
      <c r="T681" s="51"/>
      <c r="V681" s="51"/>
      <c r="X681" s="51"/>
    </row>
    <row r="682" spans="6:24">
      <c r="F682" s="51"/>
      <c r="H682" s="51"/>
      <c r="L682" s="51"/>
      <c r="P682" s="51"/>
      <c r="T682" s="51"/>
      <c r="V682" s="51"/>
      <c r="X682" s="51"/>
    </row>
    <row r="683" spans="6:24">
      <c r="F683" s="51"/>
      <c r="H683" s="51"/>
      <c r="L683" s="51"/>
      <c r="P683" s="51"/>
      <c r="T683" s="51"/>
      <c r="V683" s="51"/>
      <c r="X683" s="51"/>
    </row>
    <row r="684" spans="6:24">
      <c r="F684" s="51"/>
      <c r="H684" s="51"/>
      <c r="L684" s="51"/>
      <c r="P684" s="51"/>
      <c r="T684" s="51"/>
      <c r="V684" s="51"/>
      <c r="X684" s="51"/>
    </row>
    <row r="685" spans="6:24">
      <c r="F685" s="51"/>
      <c r="H685" s="51"/>
      <c r="L685" s="51"/>
      <c r="P685" s="51"/>
      <c r="T685" s="51"/>
      <c r="V685" s="51"/>
      <c r="X685" s="51"/>
    </row>
    <row r="686" spans="6:24">
      <c r="F686" s="51"/>
      <c r="H686" s="51"/>
      <c r="L686" s="51"/>
      <c r="P686" s="51"/>
      <c r="T686" s="51"/>
      <c r="V686" s="51"/>
      <c r="X686" s="51"/>
    </row>
    <row r="687" spans="6:24">
      <c r="F687" s="51"/>
      <c r="H687" s="51"/>
      <c r="L687" s="51"/>
      <c r="P687" s="51"/>
      <c r="T687" s="51"/>
      <c r="V687" s="51"/>
      <c r="X687" s="51"/>
    </row>
    <row r="688" spans="6:24">
      <c r="F688" s="51"/>
      <c r="H688" s="51"/>
      <c r="L688" s="51"/>
      <c r="P688" s="51"/>
      <c r="T688" s="51"/>
      <c r="V688" s="51"/>
      <c r="X688" s="51"/>
    </row>
    <row r="689" spans="6:24">
      <c r="F689" s="51"/>
      <c r="H689" s="51"/>
      <c r="L689" s="51"/>
      <c r="P689" s="51"/>
      <c r="T689" s="51"/>
      <c r="V689" s="51"/>
      <c r="X689" s="51"/>
    </row>
    <row r="690" spans="6:24">
      <c r="F690" s="51"/>
      <c r="H690" s="51"/>
      <c r="L690" s="51"/>
      <c r="P690" s="51"/>
      <c r="T690" s="51"/>
      <c r="V690" s="51"/>
      <c r="X690" s="51"/>
    </row>
    <row r="691" spans="6:24">
      <c r="F691" s="51"/>
      <c r="H691" s="51"/>
      <c r="L691" s="51"/>
      <c r="P691" s="51"/>
      <c r="T691" s="51"/>
      <c r="V691" s="51"/>
      <c r="X691" s="51"/>
    </row>
    <row r="692" spans="6:24">
      <c r="F692" s="51"/>
      <c r="H692" s="51"/>
      <c r="L692" s="51"/>
      <c r="P692" s="51"/>
      <c r="T692" s="51"/>
      <c r="V692" s="51"/>
      <c r="X692" s="51"/>
    </row>
    <row r="693" spans="6:24">
      <c r="F693" s="51"/>
      <c r="H693" s="51"/>
      <c r="L693" s="51"/>
      <c r="P693" s="51"/>
      <c r="T693" s="51"/>
      <c r="V693" s="51"/>
      <c r="X693" s="51"/>
    </row>
    <row r="694" spans="6:24">
      <c r="F694" s="51"/>
      <c r="H694" s="51"/>
      <c r="L694" s="51"/>
      <c r="P694" s="51"/>
      <c r="T694" s="51"/>
      <c r="V694" s="51"/>
      <c r="X694" s="51"/>
    </row>
    <row r="695" spans="6:24">
      <c r="F695" s="51"/>
      <c r="H695" s="51"/>
      <c r="L695" s="51"/>
      <c r="P695" s="51"/>
      <c r="T695" s="51"/>
      <c r="V695" s="51"/>
      <c r="X695" s="51"/>
    </row>
    <row r="696" spans="6:24">
      <c r="F696" s="51"/>
      <c r="H696" s="51"/>
      <c r="L696" s="51"/>
      <c r="P696" s="51"/>
      <c r="T696" s="51"/>
      <c r="V696" s="51"/>
      <c r="X696" s="51"/>
    </row>
    <row r="697" spans="6:24">
      <c r="F697" s="51"/>
      <c r="H697" s="51"/>
      <c r="L697" s="51"/>
      <c r="P697" s="51"/>
      <c r="T697" s="51"/>
      <c r="V697" s="51"/>
      <c r="X697" s="51"/>
    </row>
    <row r="698" spans="6:24">
      <c r="F698" s="51"/>
      <c r="H698" s="51"/>
      <c r="L698" s="51"/>
      <c r="P698" s="51"/>
      <c r="T698" s="51"/>
      <c r="V698" s="51"/>
      <c r="X698" s="51"/>
    </row>
    <row r="699" spans="6:24">
      <c r="F699" s="51"/>
      <c r="H699" s="51"/>
      <c r="L699" s="51"/>
      <c r="P699" s="51"/>
      <c r="T699" s="51"/>
      <c r="V699" s="51"/>
      <c r="X699" s="51"/>
    </row>
    <row r="700" spans="6:24">
      <c r="F700" s="51"/>
      <c r="H700" s="51"/>
      <c r="L700" s="51"/>
      <c r="P700" s="51"/>
      <c r="T700" s="51"/>
      <c r="V700" s="51"/>
      <c r="X700" s="51"/>
    </row>
    <row r="701" spans="6:24">
      <c r="F701" s="51"/>
      <c r="H701" s="51"/>
      <c r="L701" s="51"/>
      <c r="P701" s="51"/>
      <c r="T701" s="51"/>
      <c r="V701" s="51"/>
      <c r="X701" s="51"/>
    </row>
    <row r="702" spans="6:24">
      <c r="F702" s="51"/>
      <c r="H702" s="51"/>
      <c r="L702" s="51"/>
      <c r="P702" s="51"/>
      <c r="T702" s="51"/>
      <c r="V702" s="51"/>
      <c r="X702" s="51"/>
    </row>
    <row r="703" spans="6:24">
      <c r="F703" s="51"/>
      <c r="H703" s="51"/>
      <c r="L703" s="51"/>
      <c r="P703" s="51"/>
      <c r="T703" s="51"/>
      <c r="V703" s="51"/>
      <c r="X703" s="51"/>
    </row>
    <row r="704" spans="6:24">
      <c r="F704" s="51"/>
      <c r="H704" s="51"/>
      <c r="L704" s="51"/>
      <c r="P704" s="51"/>
      <c r="T704" s="51"/>
      <c r="V704" s="51"/>
      <c r="X704" s="51"/>
    </row>
    <row r="705" spans="6:24">
      <c r="F705" s="51"/>
      <c r="H705" s="51"/>
      <c r="L705" s="51"/>
      <c r="P705" s="51"/>
      <c r="T705" s="51"/>
      <c r="V705" s="51"/>
      <c r="X705" s="51"/>
    </row>
    <row r="706" spans="6:24">
      <c r="F706" s="51"/>
      <c r="H706" s="51"/>
      <c r="L706" s="51"/>
      <c r="P706" s="51"/>
      <c r="T706" s="51"/>
      <c r="V706" s="51"/>
      <c r="X706" s="51"/>
    </row>
    <row r="707" spans="6:24">
      <c r="F707" s="51"/>
      <c r="H707" s="51"/>
      <c r="L707" s="51"/>
      <c r="P707" s="51"/>
      <c r="T707" s="51"/>
      <c r="V707" s="51"/>
      <c r="X707" s="51"/>
    </row>
    <row r="708" spans="6:24">
      <c r="F708" s="51"/>
      <c r="H708" s="51"/>
      <c r="L708" s="51"/>
      <c r="P708" s="51"/>
      <c r="T708" s="51"/>
      <c r="V708" s="51"/>
      <c r="X708" s="51"/>
    </row>
    <row r="709" spans="6:24">
      <c r="F709" s="51"/>
      <c r="H709" s="51"/>
      <c r="L709" s="51"/>
      <c r="P709" s="51"/>
      <c r="T709" s="51"/>
      <c r="V709" s="51"/>
      <c r="X709" s="51"/>
    </row>
    <row r="710" spans="6:24">
      <c r="F710" s="51"/>
      <c r="H710" s="51"/>
      <c r="L710" s="51"/>
      <c r="P710" s="51"/>
      <c r="T710" s="51"/>
      <c r="V710" s="51"/>
      <c r="X710" s="51"/>
    </row>
    <row r="711" spans="6:24">
      <c r="F711" s="51"/>
      <c r="H711" s="51"/>
      <c r="L711" s="51"/>
      <c r="P711" s="51"/>
      <c r="T711" s="51"/>
      <c r="V711" s="51"/>
      <c r="X711" s="51"/>
    </row>
    <row r="712" spans="6:24">
      <c r="F712" s="51"/>
      <c r="H712" s="51"/>
      <c r="L712" s="51"/>
      <c r="P712" s="51"/>
      <c r="T712" s="51"/>
      <c r="V712" s="51"/>
      <c r="X712" s="51"/>
    </row>
    <row r="713" spans="6:24">
      <c r="F713" s="51"/>
      <c r="H713" s="51"/>
      <c r="L713" s="51"/>
      <c r="P713" s="51"/>
      <c r="T713" s="51"/>
      <c r="V713" s="51"/>
      <c r="X713" s="51"/>
    </row>
    <row r="714" spans="6:24">
      <c r="F714" s="51"/>
      <c r="H714" s="51"/>
      <c r="L714" s="51"/>
      <c r="P714" s="51"/>
      <c r="T714" s="51"/>
      <c r="V714" s="51"/>
      <c r="X714" s="51"/>
    </row>
    <row r="715" spans="6:24">
      <c r="F715" s="51"/>
      <c r="H715" s="51"/>
      <c r="L715" s="51"/>
      <c r="P715" s="51"/>
      <c r="T715" s="51"/>
      <c r="V715" s="51"/>
      <c r="X715" s="51"/>
    </row>
    <row r="716" spans="6:24">
      <c r="F716" s="51"/>
      <c r="H716" s="51"/>
      <c r="L716" s="51"/>
      <c r="P716" s="51"/>
      <c r="T716" s="51"/>
      <c r="V716" s="51"/>
      <c r="X716" s="51"/>
    </row>
    <row r="717" spans="6:24">
      <c r="F717" s="51"/>
      <c r="H717" s="51"/>
      <c r="L717" s="51"/>
      <c r="P717" s="51"/>
      <c r="T717" s="51"/>
      <c r="V717" s="51"/>
      <c r="X717" s="51"/>
    </row>
    <row r="718" spans="6:24">
      <c r="F718" s="51"/>
      <c r="H718" s="51"/>
      <c r="L718" s="51"/>
      <c r="P718" s="51"/>
      <c r="T718" s="51"/>
      <c r="V718" s="51"/>
      <c r="X718" s="51"/>
    </row>
    <row r="719" spans="6:24">
      <c r="F719" s="51"/>
      <c r="H719" s="51"/>
      <c r="L719" s="51"/>
      <c r="P719" s="51"/>
      <c r="T719" s="51"/>
      <c r="V719" s="51"/>
      <c r="X719" s="51"/>
    </row>
    <row r="720" spans="6:24">
      <c r="F720" s="51"/>
      <c r="H720" s="51"/>
      <c r="L720" s="51"/>
      <c r="P720" s="51"/>
      <c r="T720" s="51"/>
      <c r="V720" s="51"/>
      <c r="X720" s="51"/>
    </row>
    <row r="721" spans="6:24">
      <c r="F721" s="51"/>
      <c r="H721" s="51"/>
      <c r="L721" s="51"/>
      <c r="P721" s="51"/>
      <c r="T721" s="51"/>
      <c r="V721" s="51"/>
      <c r="X721" s="51"/>
    </row>
    <row r="722" spans="6:24">
      <c r="F722" s="51"/>
      <c r="H722" s="51"/>
      <c r="L722" s="51"/>
      <c r="P722" s="51"/>
      <c r="T722" s="51"/>
      <c r="V722" s="51"/>
      <c r="X722" s="51"/>
    </row>
    <row r="723" spans="6:24">
      <c r="F723" s="51"/>
      <c r="H723" s="51"/>
      <c r="L723" s="51"/>
      <c r="P723" s="51"/>
      <c r="T723" s="51"/>
      <c r="V723" s="51"/>
      <c r="X723" s="51"/>
    </row>
    <row r="724" spans="6:24">
      <c r="F724" s="51"/>
      <c r="H724" s="51"/>
      <c r="L724" s="51"/>
      <c r="P724" s="51"/>
      <c r="T724" s="51"/>
      <c r="V724" s="51"/>
      <c r="X724" s="51"/>
    </row>
    <row r="725" spans="6:24">
      <c r="F725" s="51"/>
      <c r="H725" s="51"/>
      <c r="L725" s="51"/>
      <c r="P725" s="51"/>
      <c r="T725" s="51"/>
      <c r="V725" s="51"/>
      <c r="X725" s="51"/>
    </row>
    <row r="726" spans="6:24">
      <c r="F726" s="51"/>
      <c r="H726" s="51"/>
      <c r="L726" s="51"/>
      <c r="P726" s="51"/>
      <c r="T726" s="51"/>
      <c r="V726" s="51"/>
      <c r="X726" s="51"/>
    </row>
    <row r="727" spans="6:24">
      <c r="F727" s="51"/>
      <c r="H727" s="51"/>
      <c r="L727" s="51"/>
      <c r="P727" s="51"/>
      <c r="T727" s="51"/>
      <c r="V727" s="51"/>
      <c r="X727" s="51"/>
    </row>
    <row r="728" spans="6:24">
      <c r="F728" s="51"/>
      <c r="H728" s="51"/>
      <c r="L728" s="51"/>
      <c r="P728" s="51"/>
      <c r="T728" s="51"/>
      <c r="V728" s="51"/>
      <c r="X728" s="51"/>
    </row>
    <row r="729" spans="6:24">
      <c r="F729" s="51"/>
      <c r="H729" s="51"/>
      <c r="L729" s="51"/>
      <c r="P729" s="51"/>
      <c r="T729" s="51"/>
      <c r="V729" s="51"/>
      <c r="X729" s="51"/>
    </row>
    <row r="730" spans="6:24">
      <c r="F730" s="51"/>
      <c r="H730" s="51"/>
      <c r="L730" s="51"/>
      <c r="P730" s="51"/>
      <c r="T730" s="51"/>
      <c r="V730" s="51"/>
      <c r="X730" s="51"/>
    </row>
    <row r="731" spans="6:24">
      <c r="F731" s="51"/>
      <c r="H731" s="51"/>
      <c r="L731" s="51"/>
      <c r="P731" s="51"/>
      <c r="T731" s="51"/>
      <c r="V731" s="51"/>
      <c r="X731" s="51"/>
    </row>
    <row r="732" spans="6:24">
      <c r="F732" s="51"/>
      <c r="H732" s="51"/>
      <c r="L732" s="51"/>
      <c r="P732" s="51"/>
      <c r="T732" s="51"/>
      <c r="V732" s="51"/>
      <c r="X732" s="51"/>
    </row>
    <row r="733" spans="6:24">
      <c r="F733" s="51"/>
      <c r="H733" s="51"/>
      <c r="L733" s="51"/>
      <c r="P733" s="51"/>
      <c r="T733" s="51"/>
      <c r="V733" s="51"/>
      <c r="X733" s="51"/>
    </row>
    <row r="734" spans="6:24">
      <c r="F734" s="51"/>
      <c r="H734" s="51"/>
      <c r="L734" s="51"/>
      <c r="P734" s="51"/>
      <c r="T734" s="51"/>
      <c r="V734" s="51"/>
      <c r="X734" s="51"/>
    </row>
    <row r="735" spans="6:24">
      <c r="F735" s="51"/>
      <c r="H735" s="51"/>
      <c r="L735" s="51"/>
      <c r="P735" s="51"/>
      <c r="T735" s="51"/>
      <c r="V735" s="51"/>
      <c r="X735" s="51"/>
    </row>
    <row r="736" spans="6:24">
      <c r="F736" s="51"/>
      <c r="H736" s="51"/>
      <c r="L736" s="51"/>
      <c r="P736" s="51"/>
      <c r="T736" s="51"/>
      <c r="V736" s="51"/>
      <c r="X736" s="51"/>
    </row>
    <row r="737" spans="6:24">
      <c r="F737" s="51"/>
      <c r="H737" s="51"/>
      <c r="L737" s="51"/>
      <c r="P737" s="51"/>
      <c r="T737" s="51"/>
      <c r="V737" s="51"/>
      <c r="X737" s="51"/>
    </row>
    <row r="738" spans="6:24">
      <c r="F738" s="51"/>
      <c r="H738" s="51"/>
      <c r="L738" s="51"/>
      <c r="P738" s="51"/>
      <c r="T738" s="51"/>
      <c r="V738" s="51"/>
      <c r="X738" s="51"/>
    </row>
    <row r="739" spans="6:24">
      <c r="F739" s="51"/>
      <c r="H739" s="51"/>
      <c r="L739" s="51"/>
      <c r="P739" s="51"/>
      <c r="T739" s="51"/>
      <c r="V739" s="51"/>
      <c r="X739" s="51"/>
    </row>
    <row r="740" spans="6:24">
      <c r="F740" s="51"/>
      <c r="H740" s="51"/>
      <c r="L740" s="51"/>
      <c r="P740" s="51"/>
      <c r="T740" s="51"/>
      <c r="V740" s="51"/>
      <c r="X740" s="51"/>
    </row>
    <row r="741" spans="6:24">
      <c r="F741" s="51"/>
      <c r="H741" s="51"/>
      <c r="L741" s="51"/>
      <c r="P741" s="51"/>
      <c r="T741" s="51"/>
      <c r="V741" s="51"/>
      <c r="X741" s="51"/>
    </row>
    <row r="742" spans="6:24">
      <c r="F742" s="51"/>
      <c r="H742" s="51"/>
      <c r="L742" s="51"/>
      <c r="P742" s="51"/>
      <c r="T742" s="51"/>
      <c r="V742" s="51"/>
      <c r="X742" s="51"/>
    </row>
    <row r="743" spans="6:24">
      <c r="F743" s="51"/>
      <c r="H743" s="51"/>
      <c r="L743" s="51"/>
      <c r="P743" s="51"/>
      <c r="T743" s="51"/>
      <c r="V743" s="51"/>
      <c r="X743" s="51"/>
    </row>
    <row r="744" spans="6:24">
      <c r="F744" s="51"/>
      <c r="H744" s="51"/>
      <c r="L744" s="51"/>
      <c r="P744" s="51"/>
      <c r="T744" s="51"/>
      <c r="V744" s="51"/>
      <c r="X744" s="51"/>
    </row>
    <row r="745" spans="6:24">
      <c r="F745" s="51"/>
      <c r="H745" s="51"/>
      <c r="L745" s="51"/>
      <c r="P745" s="51"/>
      <c r="T745" s="51"/>
      <c r="V745" s="51"/>
      <c r="X745" s="51"/>
    </row>
    <row r="746" spans="6:24">
      <c r="F746" s="51"/>
      <c r="H746" s="51"/>
      <c r="L746" s="51"/>
      <c r="P746" s="51"/>
      <c r="T746" s="51"/>
      <c r="V746" s="51"/>
      <c r="X746" s="51"/>
    </row>
    <row r="747" spans="6:24">
      <c r="F747" s="51"/>
      <c r="H747" s="51"/>
      <c r="L747" s="51"/>
      <c r="P747" s="51"/>
      <c r="T747" s="51"/>
      <c r="V747" s="51"/>
      <c r="X747" s="51"/>
    </row>
    <row r="748" spans="6:24">
      <c r="F748" s="51"/>
      <c r="H748" s="51"/>
      <c r="L748" s="51"/>
      <c r="P748" s="51"/>
      <c r="T748" s="51"/>
      <c r="V748" s="51"/>
      <c r="X748" s="51"/>
    </row>
    <row r="749" spans="6:24">
      <c r="F749" s="51"/>
      <c r="H749" s="51"/>
      <c r="L749" s="51"/>
      <c r="P749" s="51"/>
      <c r="T749" s="51"/>
      <c r="V749" s="51"/>
      <c r="X749" s="51"/>
    </row>
    <row r="750" spans="6:24">
      <c r="F750" s="51"/>
      <c r="H750" s="51"/>
      <c r="L750" s="51"/>
      <c r="P750" s="51"/>
      <c r="T750" s="51"/>
      <c r="V750" s="51"/>
      <c r="X750" s="51"/>
    </row>
    <row r="751" spans="6:24">
      <c r="F751" s="51"/>
      <c r="H751" s="51"/>
      <c r="L751" s="51"/>
      <c r="P751" s="51"/>
      <c r="T751" s="51"/>
      <c r="V751" s="51"/>
      <c r="X751" s="51"/>
    </row>
    <row r="752" spans="6:24">
      <c r="F752" s="51"/>
      <c r="H752" s="51"/>
      <c r="L752" s="51"/>
      <c r="P752" s="51"/>
      <c r="T752" s="51"/>
      <c r="V752" s="51"/>
      <c r="X752" s="51"/>
    </row>
    <row r="753" spans="6:24">
      <c r="F753" s="51"/>
      <c r="H753" s="51"/>
      <c r="L753" s="51"/>
      <c r="P753" s="51"/>
      <c r="T753" s="51"/>
      <c r="V753" s="51"/>
      <c r="X753" s="51"/>
    </row>
    <row r="754" spans="6:24">
      <c r="F754" s="51"/>
      <c r="H754" s="51"/>
      <c r="L754" s="51"/>
      <c r="P754" s="51"/>
      <c r="T754" s="51"/>
      <c r="V754" s="51"/>
      <c r="X754" s="51"/>
    </row>
    <row r="755" spans="6:24">
      <c r="F755" s="51"/>
      <c r="H755" s="51"/>
      <c r="L755" s="51"/>
      <c r="P755" s="51"/>
      <c r="T755" s="51"/>
      <c r="V755" s="51"/>
      <c r="X755" s="51"/>
    </row>
    <row r="756" spans="6:24">
      <c r="F756" s="51"/>
      <c r="H756" s="51"/>
      <c r="L756" s="51"/>
      <c r="P756" s="51"/>
      <c r="T756" s="51"/>
      <c r="V756" s="51"/>
      <c r="X756" s="51"/>
    </row>
    <row r="757" spans="6:24">
      <c r="F757" s="51"/>
      <c r="H757" s="51"/>
      <c r="L757" s="51"/>
      <c r="P757" s="51"/>
      <c r="T757" s="51"/>
      <c r="V757" s="51"/>
      <c r="X757" s="51"/>
    </row>
    <row r="758" spans="6:24">
      <c r="F758" s="51"/>
      <c r="H758" s="51"/>
      <c r="L758" s="51"/>
      <c r="P758" s="51"/>
      <c r="T758" s="51"/>
      <c r="V758" s="51"/>
      <c r="X758" s="51"/>
    </row>
    <row r="759" spans="6:24">
      <c r="F759" s="51"/>
      <c r="H759" s="51"/>
      <c r="L759" s="51"/>
      <c r="P759" s="51"/>
      <c r="T759" s="51"/>
      <c r="V759" s="51"/>
      <c r="X759" s="51"/>
    </row>
    <row r="760" spans="6:24">
      <c r="F760" s="51"/>
      <c r="H760" s="51"/>
      <c r="L760" s="51"/>
      <c r="P760" s="51"/>
      <c r="T760" s="51"/>
      <c r="V760" s="51"/>
      <c r="X760" s="51"/>
    </row>
    <row r="761" spans="6:24">
      <c r="F761" s="51"/>
      <c r="H761" s="51"/>
      <c r="L761" s="51"/>
      <c r="P761" s="51"/>
      <c r="T761" s="51"/>
      <c r="V761" s="51"/>
      <c r="X761" s="51"/>
    </row>
    <row r="762" spans="6:24">
      <c r="F762" s="51"/>
      <c r="H762" s="51"/>
      <c r="L762" s="51"/>
      <c r="P762" s="51"/>
      <c r="T762" s="51"/>
      <c r="V762" s="51"/>
      <c r="X762" s="51"/>
    </row>
    <row r="763" spans="6:24">
      <c r="F763" s="51"/>
      <c r="H763" s="51"/>
      <c r="L763" s="51"/>
      <c r="P763" s="51"/>
      <c r="T763" s="51"/>
      <c r="V763" s="51"/>
      <c r="X763" s="51"/>
    </row>
    <row r="764" spans="6:24">
      <c r="F764" s="51"/>
      <c r="H764" s="51"/>
      <c r="L764" s="51"/>
      <c r="P764" s="51"/>
      <c r="T764" s="51"/>
      <c r="V764" s="51"/>
      <c r="X764" s="51"/>
    </row>
    <row r="765" spans="6:24">
      <c r="F765" s="51"/>
      <c r="H765" s="51"/>
      <c r="L765" s="51"/>
      <c r="P765" s="51"/>
      <c r="T765" s="51"/>
      <c r="V765" s="51"/>
      <c r="X765" s="51"/>
    </row>
    <row r="766" spans="6:24">
      <c r="F766" s="51"/>
      <c r="H766" s="51"/>
      <c r="L766" s="51"/>
      <c r="P766" s="51"/>
      <c r="T766" s="51"/>
      <c r="V766" s="51"/>
      <c r="X766" s="51"/>
    </row>
    <row r="767" spans="6:24">
      <c r="F767" s="51"/>
      <c r="H767" s="51"/>
      <c r="L767" s="51"/>
      <c r="P767" s="51"/>
      <c r="T767" s="51"/>
      <c r="V767" s="51"/>
      <c r="X767" s="51"/>
    </row>
    <row r="768" spans="6:24">
      <c r="F768" s="51"/>
      <c r="H768" s="51"/>
      <c r="L768" s="51"/>
      <c r="P768" s="51"/>
      <c r="T768" s="51"/>
      <c r="V768" s="51"/>
      <c r="X768" s="51"/>
    </row>
    <row r="769" spans="6:24">
      <c r="F769" s="51"/>
      <c r="H769" s="51"/>
      <c r="L769" s="51"/>
      <c r="P769" s="51"/>
      <c r="T769" s="51"/>
      <c r="V769" s="51"/>
      <c r="X769" s="51"/>
    </row>
    <row r="770" spans="6:24">
      <c r="F770" s="51"/>
      <c r="H770" s="51"/>
      <c r="L770" s="51"/>
      <c r="P770" s="51"/>
      <c r="T770" s="51"/>
      <c r="V770" s="51"/>
      <c r="X770" s="51"/>
    </row>
    <row r="771" spans="6:24">
      <c r="F771" s="51"/>
      <c r="H771" s="51"/>
      <c r="L771" s="51"/>
      <c r="P771" s="51"/>
      <c r="T771" s="51"/>
      <c r="V771" s="51"/>
      <c r="X771" s="51"/>
    </row>
    <row r="772" spans="6:24">
      <c r="F772" s="51"/>
      <c r="H772" s="51"/>
      <c r="L772" s="51"/>
      <c r="P772" s="51"/>
      <c r="T772" s="51"/>
      <c r="V772" s="51"/>
      <c r="X772" s="51"/>
    </row>
    <row r="773" spans="6:24">
      <c r="F773" s="51"/>
      <c r="H773" s="51"/>
      <c r="L773" s="51"/>
      <c r="P773" s="51"/>
      <c r="T773" s="51"/>
      <c r="V773" s="51"/>
      <c r="X773" s="51"/>
    </row>
    <row r="774" spans="6:24">
      <c r="F774" s="51"/>
      <c r="H774" s="51"/>
      <c r="L774" s="51"/>
      <c r="P774" s="51"/>
      <c r="T774" s="51"/>
      <c r="V774" s="51"/>
      <c r="X774" s="51"/>
    </row>
    <row r="775" spans="6:24">
      <c r="F775" s="51"/>
      <c r="H775" s="51"/>
      <c r="L775" s="51"/>
      <c r="P775" s="51"/>
      <c r="T775" s="51"/>
      <c r="V775" s="51"/>
      <c r="X775" s="51"/>
    </row>
    <row r="776" spans="6:24">
      <c r="F776" s="51"/>
      <c r="H776" s="51"/>
      <c r="L776" s="51"/>
      <c r="P776" s="51"/>
      <c r="T776" s="51"/>
      <c r="V776" s="51"/>
      <c r="X776" s="51"/>
    </row>
    <row r="777" spans="6:24">
      <c r="F777" s="51"/>
      <c r="H777" s="51"/>
      <c r="L777" s="51"/>
      <c r="P777" s="51"/>
      <c r="T777" s="51"/>
      <c r="V777" s="51"/>
      <c r="X777" s="51"/>
    </row>
    <row r="778" spans="6:24">
      <c r="F778" s="51"/>
      <c r="H778" s="51"/>
      <c r="L778" s="51"/>
      <c r="P778" s="51"/>
      <c r="T778" s="51"/>
      <c r="V778" s="51"/>
      <c r="X778" s="51"/>
    </row>
    <row r="779" spans="6:24">
      <c r="F779" s="51"/>
      <c r="H779" s="51"/>
      <c r="L779" s="51"/>
      <c r="P779" s="51"/>
      <c r="T779" s="51"/>
      <c r="V779" s="51"/>
      <c r="X779" s="51"/>
    </row>
    <row r="780" spans="6:24">
      <c r="F780" s="51"/>
      <c r="H780" s="51"/>
      <c r="L780" s="51"/>
      <c r="P780" s="51"/>
      <c r="T780" s="51"/>
      <c r="V780" s="51"/>
      <c r="X780" s="51"/>
    </row>
    <row r="781" spans="6:24">
      <c r="F781" s="51"/>
      <c r="H781" s="51"/>
      <c r="L781" s="51"/>
      <c r="P781" s="51"/>
      <c r="T781" s="51"/>
      <c r="V781" s="51"/>
      <c r="X781" s="51"/>
    </row>
    <row r="782" spans="6:24">
      <c r="F782" s="51"/>
      <c r="H782" s="51"/>
      <c r="L782" s="51"/>
      <c r="P782" s="51"/>
      <c r="T782" s="51"/>
      <c r="V782" s="51"/>
      <c r="X782" s="51"/>
    </row>
    <row r="783" spans="6:24">
      <c r="F783" s="51"/>
      <c r="H783" s="51"/>
      <c r="L783" s="51"/>
      <c r="P783" s="51"/>
      <c r="T783" s="51"/>
      <c r="V783" s="51"/>
      <c r="X783" s="51"/>
    </row>
    <row r="784" spans="6:24">
      <c r="F784" s="51"/>
      <c r="H784" s="51"/>
      <c r="L784" s="51"/>
      <c r="P784" s="51"/>
      <c r="T784" s="51"/>
      <c r="V784" s="51"/>
      <c r="X784" s="51"/>
    </row>
    <row r="785" spans="6:24">
      <c r="F785" s="51"/>
      <c r="H785" s="51"/>
      <c r="L785" s="51"/>
      <c r="P785" s="51"/>
      <c r="T785" s="51"/>
      <c r="V785" s="51"/>
      <c r="X785" s="51"/>
    </row>
    <row r="786" spans="6:24">
      <c r="F786" s="51"/>
      <c r="H786" s="51"/>
      <c r="L786" s="51"/>
      <c r="P786" s="51"/>
      <c r="T786" s="51"/>
      <c r="V786" s="51"/>
      <c r="X786" s="51"/>
    </row>
    <row r="787" spans="6:24">
      <c r="F787" s="51"/>
      <c r="H787" s="51"/>
      <c r="L787" s="51"/>
      <c r="P787" s="51"/>
      <c r="T787" s="51"/>
      <c r="V787" s="51"/>
      <c r="X787" s="51"/>
    </row>
    <row r="788" spans="6:24">
      <c r="F788" s="51"/>
      <c r="H788" s="51"/>
      <c r="L788" s="51"/>
      <c r="P788" s="51"/>
      <c r="T788" s="51"/>
      <c r="V788" s="51"/>
      <c r="X788" s="51"/>
    </row>
    <row r="789" spans="6:24">
      <c r="F789" s="51"/>
      <c r="H789" s="51"/>
      <c r="L789" s="51"/>
      <c r="P789" s="51"/>
      <c r="T789" s="51"/>
      <c r="V789" s="51"/>
      <c r="X789" s="51"/>
    </row>
    <row r="790" spans="6:24">
      <c r="F790" s="51"/>
      <c r="H790" s="51"/>
      <c r="L790" s="51"/>
      <c r="P790" s="51"/>
      <c r="T790" s="51"/>
      <c r="V790" s="51"/>
      <c r="X790" s="51"/>
    </row>
    <row r="791" spans="6:24">
      <c r="F791" s="51"/>
      <c r="H791" s="51"/>
      <c r="L791" s="51"/>
      <c r="P791" s="51"/>
      <c r="T791" s="51"/>
      <c r="V791" s="51"/>
      <c r="X791" s="51"/>
    </row>
    <row r="792" spans="6:24">
      <c r="F792" s="51"/>
      <c r="H792" s="51"/>
      <c r="L792" s="51"/>
      <c r="P792" s="51"/>
      <c r="T792" s="51"/>
      <c r="V792" s="51"/>
      <c r="X792" s="51"/>
    </row>
    <row r="793" spans="6:24">
      <c r="F793" s="51"/>
      <c r="H793" s="51"/>
      <c r="L793" s="51"/>
      <c r="P793" s="51"/>
      <c r="T793" s="51"/>
      <c r="V793" s="51"/>
      <c r="X793" s="51"/>
    </row>
    <row r="794" spans="6:24">
      <c r="F794" s="51"/>
      <c r="H794" s="51"/>
      <c r="L794" s="51"/>
      <c r="P794" s="51"/>
      <c r="T794" s="51"/>
      <c r="V794" s="51"/>
      <c r="X794" s="51"/>
    </row>
    <row r="795" spans="6:24">
      <c r="F795" s="51"/>
      <c r="H795" s="51"/>
      <c r="L795" s="51"/>
      <c r="P795" s="51"/>
      <c r="T795" s="51"/>
      <c r="V795" s="51"/>
      <c r="X795" s="51"/>
    </row>
    <row r="796" spans="6:24">
      <c r="F796" s="51"/>
      <c r="H796" s="51"/>
      <c r="L796" s="51"/>
      <c r="P796" s="51"/>
      <c r="T796" s="51"/>
      <c r="V796" s="51"/>
      <c r="X796" s="51"/>
    </row>
    <row r="797" spans="6:24">
      <c r="F797" s="51"/>
      <c r="H797" s="51"/>
      <c r="L797" s="51"/>
      <c r="P797" s="51"/>
      <c r="T797" s="51"/>
      <c r="V797" s="51"/>
      <c r="X797" s="51"/>
    </row>
    <row r="798" spans="6:24">
      <c r="F798" s="51"/>
      <c r="H798" s="51"/>
      <c r="L798" s="51"/>
      <c r="P798" s="51"/>
      <c r="T798" s="51"/>
      <c r="V798" s="51"/>
      <c r="X798" s="51"/>
    </row>
    <row r="799" spans="6:24">
      <c r="F799" s="51"/>
      <c r="H799" s="51"/>
      <c r="L799" s="51"/>
      <c r="P799" s="51"/>
      <c r="T799" s="51"/>
      <c r="V799" s="51"/>
      <c r="X799" s="51"/>
    </row>
    <row r="800" spans="6:24">
      <c r="F800" s="51"/>
      <c r="H800" s="51"/>
      <c r="L800" s="51"/>
      <c r="P800" s="51"/>
      <c r="T800" s="51"/>
      <c r="V800" s="51"/>
      <c r="X800" s="51"/>
    </row>
    <row r="801" spans="6:24">
      <c r="F801" s="51"/>
      <c r="H801" s="51"/>
      <c r="L801" s="51"/>
      <c r="P801" s="51"/>
      <c r="T801" s="51"/>
      <c r="V801" s="51"/>
      <c r="X801" s="51"/>
    </row>
    <row r="802" spans="6:24">
      <c r="F802" s="51"/>
      <c r="H802" s="51"/>
      <c r="L802" s="51"/>
      <c r="P802" s="51"/>
      <c r="T802" s="51"/>
      <c r="V802" s="51"/>
      <c r="X802" s="51"/>
    </row>
    <row r="803" spans="6:24">
      <c r="F803" s="51"/>
      <c r="H803" s="51"/>
      <c r="L803" s="51"/>
      <c r="P803" s="51"/>
      <c r="T803" s="51"/>
      <c r="V803" s="51"/>
      <c r="X803" s="51"/>
    </row>
    <row r="804" spans="6:24">
      <c r="F804" s="51"/>
      <c r="H804" s="51"/>
      <c r="L804" s="51"/>
      <c r="P804" s="51"/>
      <c r="T804" s="51"/>
      <c r="V804" s="51"/>
      <c r="X804" s="51"/>
    </row>
    <row r="805" spans="6:24">
      <c r="F805" s="51"/>
      <c r="H805" s="51"/>
      <c r="L805" s="51"/>
      <c r="P805" s="51"/>
      <c r="T805" s="51"/>
      <c r="V805" s="51"/>
      <c r="X805" s="51"/>
    </row>
    <row r="806" spans="6:24">
      <c r="F806" s="51"/>
      <c r="H806" s="51"/>
      <c r="L806" s="51"/>
      <c r="P806" s="51"/>
      <c r="T806" s="51"/>
      <c r="V806" s="51"/>
      <c r="X806" s="51"/>
    </row>
    <row r="807" spans="6:24">
      <c r="F807" s="51"/>
      <c r="H807" s="51"/>
      <c r="L807" s="51"/>
      <c r="P807" s="51"/>
      <c r="T807" s="51"/>
      <c r="V807" s="51"/>
      <c r="X807" s="51"/>
    </row>
    <row r="808" spans="6:24">
      <c r="F808" s="51"/>
      <c r="H808" s="51"/>
      <c r="L808" s="51"/>
      <c r="P808" s="51"/>
      <c r="T808" s="51"/>
      <c r="V808" s="51"/>
      <c r="X808" s="51"/>
    </row>
    <row r="809" spans="6:24">
      <c r="F809" s="51"/>
      <c r="H809" s="51"/>
      <c r="L809" s="51"/>
      <c r="P809" s="51"/>
      <c r="T809" s="51"/>
      <c r="V809" s="51"/>
      <c r="X809" s="51"/>
    </row>
    <row r="810" spans="6:24">
      <c r="F810" s="51"/>
      <c r="H810" s="51"/>
      <c r="L810" s="51"/>
      <c r="P810" s="51"/>
      <c r="T810" s="51"/>
      <c r="V810" s="51"/>
      <c r="X810" s="51"/>
    </row>
    <row r="811" spans="6:24">
      <c r="F811" s="51"/>
      <c r="H811" s="51"/>
      <c r="L811" s="51"/>
      <c r="P811" s="51"/>
      <c r="T811" s="51"/>
      <c r="V811" s="51"/>
      <c r="X811" s="51"/>
    </row>
    <row r="812" spans="6:24">
      <c r="F812" s="51"/>
      <c r="H812" s="51"/>
      <c r="L812" s="51"/>
      <c r="P812" s="51"/>
      <c r="T812" s="51"/>
      <c r="V812" s="51"/>
      <c r="X812" s="51"/>
    </row>
    <row r="813" spans="6:24">
      <c r="F813" s="51"/>
      <c r="H813" s="51"/>
      <c r="L813" s="51"/>
      <c r="P813" s="51"/>
      <c r="T813" s="51"/>
      <c r="V813" s="51"/>
      <c r="X813" s="51"/>
    </row>
    <row r="814" spans="6:24">
      <c r="F814" s="51"/>
      <c r="H814" s="51"/>
      <c r="L814" s="51"/>
      <c r="P814" s="51"/>
      <c r="T814" s="51"/>
      <c r="V814" s="51"/>
      <c r="X814" s="51"/>
    </row>
    <row r="815" spans="6:24">
      <c r="F815" s="51"/>
      <c r="H815" s="51"/>
      <c r="L815" s="51"/>
      <c r="P815" s="51"/>
      <c r="T815" s="51"/>
      <c r="V815" s="51"/>
      <c r="X815" s="51"/>
    </row>
    <row r="816" spans="6:24">
      <c r="F816" s="51"/>
      <c r="H816" s="51"/>
      <c r="L816" s="51"/>
      <c r="P816" s="51"/>
      <c r="T816" s="51"/>
      <c r="V816" s="51"/>
      <c r="X816" s="51"/>
    </row>
    <row r="817" spans="6:24">
      <c r="F817" s="51"/>
      <c r="H817" s="51"/>
      <c r="L817" s="51"/>
      <c r="P817" s="51"/>
      <c r="T817" s="51"/>
      <c r="V817" s="51"/>
      <c r="X817" s="51"/>
    </row>
    <row r="818" spans="6:24">
      <c r="F818" s="51"/>
      <c r="H818" s="51"/>
      <c r="L818" s="51"/>
      <c r="P818" s="51"/>
      <c r="T818" s="51"/>
      <c r="V818" s="51"/>
      <c r="X818" s="51"/>
    </row>
    <row r="819" spans="6:24">
      <c r="F819" s="51"/>
      <c r="H819" s="51"/>
      <c r="L819" s="51"/>
      <c r="P819" s="51"/>
      <c r="T819" s="51"/>
      <c r="V819" s="51"/>
      <c r="X819" s="51"/>
    </row>
    <row r="820" spans="6:24">
      <c r="F820" s="51"/>
      <c r="H820" s="51"/>
      <c r="L820" s="51"/>
      <c r="P820" s="51"/>
      <c r="T820" s="51"/>
      <c r="V820" s="51"/>
      <c r="X820" s="51"/>
    </row>
    <row r="821" spans="6:24">
      <c r="F821" s="51"/>
      <c r="H821" s="51"/>
      <c r="L821" s="51"/>
      <c r="P821" s="51"/>
      <c r="T821" s="51"/>
      <c r="V821" s="51"/>
      <c r="X821" s="51"/>
    </row>
    <row r="822" spans="6:24">
      <c r="F822" s="51"/>
      <c r="H822" s="51"/>
      <c r="L822" s="51"/>
      <c r="P822" s="51"/>
      <c r="T822" s="51"/>
      <c r="V822" s="51"/>
      <c r="X822" s="51"/>
    </row>
    <row r="823" spans="6:24">
      <c r="F823" s="51"/>
      <c r="H823" s="51"/>
      <c r="L823" s="51"/>
      <c r="P823" s="51"/>
      <c r="T823" s="51"/>
      <c r="V823" s="51"/>
      <c r="X823" s="51"/>
    </row>
    <row r="824" spans="6:24">
      <c r="F824" s="51"/>
      <c r="H824" s="51"/>
      <c r="L824" s="51"/>
      <c r="P824" s="51"/>
      <c r="T824" s="51"/>
      <c r="V824" s="51"/>
      <c r="X824" s="51"/>
    </row>
    <row r="825" spans="6:24">
      <c r="F825" s="51"/>
      <c r="H825" s="51"/>
      <c r="L825" s="51"/>
      <c r="P825" s="51"/>
      <c r="T825" s="51"/>
      <c r="V825" s="51"/>
      <c r="X825" s="51"/>
    </row>
    <row r="826" spans="6:24">
      <c r="F826" s="51"/>
      <c r="H826" s="51"/>
      <c r="L826" s="51"/>
      <c r="P826" s="51"/>
      <c r="T826" s="51"/>
      <c r="V826" s="51"/>
      <c r="X826" s="51"/>
    </row>
    <row r="827" spans="6:24">
      <c r="F827" s="51"/>
      <c r="H827" s="51"/>
      <c r="L827" s="51"/>
      <c r="P827" s="51"/>
      <c r="T827" s="51"/>
      <c r="V827" s="51"/>
      <c r="X827" s="51"/>
    </row>
    <row r="828" spans="6:24">
      <c r="F828" s="51"/>
      <c r="H828" s="51"/>
      <c r="L828" s="51"/>
      <c r="P828" s="51"/>
      <c r="T828" s="51"/>
      <c r="V828" s="51"/>
      <c r="X828" s="51"/>
    </row>
    <row r="829" spans="6:24">
      <c r="F829" s="51"/>
      <c r="H829" s="51"/>
      <c r="L829" s="51"/>
      <c r="P829" s="51"/>
      <c r="T829" s="51"/>
      <c r="V829" s="51"/>
      <c r="X829" s="51"/>
    </row>
    <row r="830" spans="6:24">
      <c r="F830" s="51"/>
      <c r="H830" s="51"/>
      <c r="L830" s="51"/>
      <c r="P830" s="51"/>
      <c r="T830" s="51"/>
      <c r="V830" s="51"/>
      <c r="X830" s="51"/>
    </row>
    <row r="831" spans="6:24">
      <c r="F831" s="51"/>
      <c r="H831" s="51"/>
      <c r="L831" s="51"/>
      <c r="P831" s="51"/>
      <c r="T831" s="51"/>
      <c r="V831" s="51"/>
      <c r="X831" s="51"/>
    </row>
    <row r="832" spans="6:24">
      <c r="F832" s="51"/>
      <c r="H832" s="51"/>
      <c r="L832" s="51"/>
      <c r="P832" s="51"/>
      <c r="T832" s="51"/>
      <c r="V832" s="51"/>
      <c r="X832" s="51"/>
    </row>
    <row r="833" spans="6:24">
      <c r="F833" s="51"/>
      <c r="H833" s="51"/>
      <c r="L833" s="51"/>
      <c r="P833" s="51"/>
      <c r="T833" s="51"/>
      <c r="V833" s="51"/>
      <c r="X833" s="51"/>
    </row>
    <row r="834" spans="6:24">
      <c r="F834" s="51"/>
      <c r="H834" s="51"/>
      <c r="L834" s="51"/>
      <c r="P834" s="51"/>
      <c r="T834" s="51"/>
      <c r="V834" s="51"/>
      <c r="X834" s="51"/>
    </row>
    <row r="835" spans="6:24">
      <c r="F835" s="51"/>
      <c r="H835" s="51"/>
      <c r="L835" s="51"/>
      <c r="P835" s="51"/>
      <c r="T835" s="51"/>
      <c r="V835" s="51"/>
      <c r="X835" s="51"/>
    </row>
    <row r="836" spans="6:24">
      <c r="F836" s="51"/>
      <c r="H836" s="51"/>
      <c r="L836" s="51"/>
      <c r="P836" s="51"/>
      <c r="T836" s="51"/>
      <c r="V836" s="51"/>
      <c r="X836" s="51"/>
    </row>
    <row r="837" spans="6:24">
      <c r="F837" s="51"/>
      <c r="H837" s="51"/>
      <c r="L837" s="51"/>
      <c r="P837" s="51"/>
      <c r="T837" s="51"/>
      <c r="V837" s="51"/>
      <c r="X837" s="51"/>
    </row>
    <row r="838" spans="6:24">
      <c r="F838" s="51"/>
      <c r="H838" s="51"/>
      <c r="L838" s="51"/>
      <c r="P838" s="51"/>
      <c r="T838" s="51"/>
      <c r="V838" s="51"/>
      <c r="X838" s="51"/>
    </row>
    <row r="839" spans="6:24">
      <c r="F839" s="51"/>
      <c r="H839" s="51"/>
      <c r="L839" s="51"/>
      <c r="P839" s="51"/>
      <c r="T839" s="51"/>
      <c r="V839" s="51"/>
      <c r="X839" s="51"/>
    </row>
    <row r="840" spans="6:24">
      <c r="F840" s="51"/>
      <c r="H840" s="51"/>
      <c r="L840" s="51"/>
      <c r="P840" s="51"/>
      <c r="T840" s="51"/>
      <c r="V840" s="51"/>
      <c r="X840" s="51"/>
    </row>
    <row r="841" spans="6:24">
      <c r="F841" s="51"/>
      <c r="H841" s="51"/>
      <c r="L841" s="51"/>
      <c r="P841" s="51"/>
      <c r="T841" s="51"/>
      <c r="V841" s="51"/>
      <c r="X841" s="51"/>
    </row>
    <row r="842" spans="6:24">
      <c r="F842" s="51"/>
      <c r="H842" s="51"/>
      <c r="L842" s="51"/>
      <c r="P842" s="51"/>
      <c r="T842" s="51"/>
      <c r="V842" s="51"/>
      <c r="X842" s="51"/>
    </row>
    <row r="843" spans="6:24">
      <c r="F843" s="51"/>
      <c r="H843" s="51"/>
      <c r="L843" s="51"/>
      <c r="P843" s="51"/>
      <c r="T843" s="51"/>
      <c r="V843" s="51"/>
      <c r="X843" s="51"/>
    </row>
    <row r="844" spans="6:24">
      <c r="F844" s="51"/>
      <c r="H844" s="51"/>
      <c r="L844" s="51"/>
      <c r="P844" s="51"/>
      <c r="T844" s="51"/>
      <c r="V844" s="51"/>
      <c r="X844" s="51"/>
    </row>
    <row r="845" spans="6:24">
      <c r="F845" s="51"/>
      <c r="H845" s="51"/>
      <c r="L845" s="51"/>
      <c r="P845" s="51"/>
      <c r="T845" s="51"/>
      <c r="V845" s="51"/>
      <c r="X845" s="51"/>
    </row>
    <row r="846" spans="6:24">
      <c r="F846" s="51"/>
      <c r="H846" s="51"/>
      <c r="L846" s="51"/>
      <c r="P846" s="51"/>
      <c r="T846" s="51"/>
      <c r="V846" s="51"/>
      <c r="X846" s="51"/>
    </row>
    <row r="847" spans="6:24">
      <c r="F847" s="51"/>
      <c r="H847" s="51"/>
      <c r="L847" s="51"/>
      <c r="P847" s="51"/>
      <c r="T847" s="51"/>
      <c r="V847" s="51"/>
      <c r="X847" s="51"/>
    </row>
    <row r="848" spans="6:24">
      <c r="F848" s="51"/>
      <c r="H848" s="51"/>
      <c r="L848" s="51"/>
      <c r="P848" s="51"/>
      <c r="T848" s="51"/>
      <c r="V848" s="51"/>
      <c r="X848" s="51"/>
    </row>
    <row r="849" spans="6:24">
      <c r="F849" s="51"/>
      <c r="H849" s="51"/>
      <c r="L849" s="51"/>
      <c r="P849" s="51"/>
      <c r="T849" s="51"/>
      <c r="V849" s="51"/>
      <c r="X849" s="51"/>
    </row>
    <row r="850" spans="6:24">
      <c r="F850" s="51"/>
      <c r="H850" s="51"/>
      <c r="L850" s="51"/>
      <c r="P850" s="51"/>
      <c r="T850" s="51"/>
      <c r="V850" s="51"/>
      <c r="X850" s="51"/>
    </row>
    <row r="851" spans="6:24">
      <c r="F851" s="51"/>
      <c r="H851" s="51"/>
      <c r="L851" s="51"/>
      <c r="P851" s="51"/>
      <c r="T851" s="51"/>
      <c r="V851" s="51"/>
      <c r="X851" s="51"/>
    </row>
    <row r="852" spans="6:24">
      <c r="F852" s="51"/>
      <c r="H852" s="51"/>
      <c r="L852" s="51"/>
      <c r="P852" s="51"/>
      <c r="T852" s="51"/>
      <c r="V852" s="51"/>
      <c r="X852" s="51"/>
    </row>
    <row r="853" spans="6:24">
      <c r="F853" s="51"/>
      <c r="H853" s="51"/>
      <c r="L853" s="51"/>
      <c r="P853" s="51"/>
      <c r="T853" s="51"/>
      <c r="V853" s="51"/>
      <c r="X853" s="51"/>
    </row>
    <row r="854" spans="6:24">
      <c r="F854" s="51"/>
      <c r="H854" s="51"/>
      <c r="L854" s="51"/>
      <c r="P854" s="51"/>
      <c r="T854" s="51"/>
      <c r="V854" s="51"/>
      <c r="X854" s="51"/>
    </row>
    <row r="855" spans="6:24">
      <c r="F855" s="51"/>
      <c r="H855" s="51"/>
      <c r="L855" s="51"/>
      <c r="P855" s="51"/>
      <c r="T855" s="51"/>
      <c r="V855" s="51"/>
      <c r="X855" s="51"/>
    </row>
    <row r="856" spans="6:24">
      <c r="F856" s="51"/>
      <c r="H856" s="51"/>
      <c r="L856" s="51"/>
      <c r="P856" s="51"/>
      <c r="T856" s="51"/>
      <c r="V856" s="51"/>
      <c r="X856" s="51"/>
    </row>
    <row r="857" spans="6:24">
      <c r="F857" s="51"/>
      <c r="H857" s="51"/>
      <c r="L857" s="51"/>
      <c r="P857" s="51"/>
      <c r="T857" s="51"/>
      <c r="V857" s="51"/>
      <c r="X857" s="51"/>
    </row>
    <row r="858" spans="6:24">
      <c r="F858" s="51"/>
      <c r="H858" s="51"/>
      <c r="L858" s="51"/>
      <c r="P858" s="51"/>
      <c r="T858" s="51"/>
      <c r="V858" s="51"/>
      <c r="X858" s="51"/>
    </row>
    <row r="859" spans="6:24">
      <c r="F859" s="51"/>
      <c r="H859" s="51"/>
      <c r="L859" s="51"/>
      <c r="P859" s="51"/>
      <c r="T859" s="51"/>
      <c r="V859" s="51"/>
      <c r="X859" s="51"/>
    </row>
    <row r="860" spans="6:24">
      <c r="F860" s="51"/>
      <c r="H860" s="51"/>
      <c r="L860" s="51"/>
      <c r="P860" s="51"/>
      <c r="T860" s="51"/>
      <c r="V860" s="51"/>
      <c r="X860" s="51"/>
    </row>
    <row r="861" spans="6:24">
      <c r="F861" s="51"/>
      <c r="H861" s="51"/>
      <c r="L861" s="51"/>
      <c r="P861" s="51"/>
      <c r="T861" s="51"/>
      <c r="V861" s="51"/>
      <c r="X861" s="51"/>
    </row>
    <row r="862" spans="6:24">
      <c r="F862" s="51"/>
      <c r="H862" s="51"/>
      <c r="L862" s="51"/>
      <c r="P862" s="51"/>
      <c r="T862" s="51"/>
      <c r="V862" s="51"/>
      <c r="X862" s="51"/>
    </row>
    <row r="863" spans="6:24">
      <c r="F863" s="51"/>
      <c r="H863" s="51"/>
      <c r="L863" s="51"/>
      <c r="P863" s="51"/>
      <c r="T863" s="51"/>
      <c r="V863" s="51"/>
      <c r="X863" s="51"/>
    </row>
    <row r="864" spans="6:24">
      <c r="F864" s="51"/>
      <c r="H864" s="51"/>
      <c r="L864" s="51"/>
      <c r="P864" s="51"/>
      <c r="T864" s="51"/>
      <c r="V864" s="51"/>
      <c r="X864" s="51"/>
    </row>
    <row r="865" spans="6:24">
      <c r="F865" s="51"/>
      <c r="H865" s="51"/>
      <c r="L865" s="51"/>
      <c r="P865" s="51"/>
      <c r="T865" s="51"/>
      <c r="V865" s="51"/>
      <c r="X865" s="51"/>
    </row>
    <row r="866" spans="6:24">
      <c r="F866" s="51"/>
      <c r="H866" s="51"/>
      <c r="L866" s="51"/>
      <c r="P866" s="51"/>
      <c r="T866" s="51"/>
      <c r="V866" s="51"/>
      <c r="X866" s="51"/>
    </row>
    <row r="867" spans="6:24">
      <c r="F867" s="51"/>
      <c r="H867" s="51"/>
      <c r="L867" s="51"/>
      <c r="P867" s="51"/>
      <c r="T867" s="51"/>
      <c r="V867" s="51"/>
      <c r="X867" s="51"/>
    </row>
    <row r="868" spans="6:24">
      <c r="F868" s="51"/>
      <c r="H868" s="51"/>
      <c r="L868" s="51"/>
      <c r="P868" s="51"/>
      <c r="T868" s="51"/>
      <c r="V868" s="51"/>
      <c r="X868" s="51"/>
    </row>
    <row r="869" spans="6:24">
      <c r="F869" s="51"/>
      <c r="H869" s="51"/>
      <c r="L869" s="51"/>
      <c r="P869" s="51"/>
      <c r="T869" s="51"/>
      <c r="V869" s="51"/>
      <c r="X869" s="51"/>
    </row>
    <row r="870" spans="6:24">
      <c r="F870" s="51"/>
      <c r="H870" s="51"/>
      <c r="L870" s="51"/>
      <c r="P870" s="51"/>
      <c r="T870" s="51"/>
      <c r="V870" s="51"/>
      <c r="X870" s="51"/>
    </row>
    <row r="871" spans="6:24">
      <c r="F871" s="51"/>
      <c r="H871" s="51"/>
      <c r="L871" s="51"/>
      <c r="P871" s="51"/>
      <c r="T871" s="51"/>
      <c r="V871" s="51"/>
      <c r="X871" s="51"/>
    </row>
    <row r="872" spans="6:24">
      <c r="F872" s="51"/>
      <c r="H872" s="51"/>
      <c r="L872" s="51"/>
      <c r="P872" s="51"/>
      <c r="T872" s="51"/>
      <c r="V872" s="51"/>
      <c r="X872" s="51"/>
    </row>
    <row r="873" spans="6:24">
      <c r="F873" s="51"/>
      <c r="H873" s="51"/>
      <c r="L873" s="51"/>
      <c r="P873" s="51"/>
      <c r="T873" s="51"/>
      <c r="V873" s="51"/>
      <c r="X873" s="51"/>
    </row>
    <row r="874" spans="6:24">
      <c r="F874" s="51"/>
      <c r="H874" s="51"/>
      <c r="L874" s="51"/>
      <c r="P874" s="51"/>
      <c r="T874" s="51"/>
      <c r="V874" s="51"/>
      <c r="X874" s="51"/>
    </row>
    <row r="875" spans="6:24">
      <c r="F875" s="51"/>
      <c r="H875" s="51"/>
      <c r="L875" s="51"/>
      <c r="P875" s="51"/>
      <c r="T875" s="51"/>
      <c r="V875" s="51"/>
      <c r="X875" s="51"/>
    </row>
    <row r="876" spans="6:24">
      <c r="F876" s="51"/>
      <c r="H876" s="51"/>
      <c r="L876" s="51"/>
      <c r="P876" s="51"/>
      <c r="T876" s="51"/>
      <c r="V876" s="51"/>
      <c r="X876" s="51"/>
    </row>
    <row r="877" spans="6:24">
      <c r="F877" s="51"/>
      <c r="H877" s="51"/>
      <c r="L877" s="51"/>
      <c r="P877" s="51"/>
      <c r="T877" s="51"/>
      <c r="V877" s="51"/>
      <c r="X877" s="51"/>
    </row>
    <row r="878" spans="6:24">
      <c r="F878" s="51"/>
      <c r="H878" s="51"/>
      <c r="L878" s="51"/>
      <c r="P878" s="51"/>
      <c r="T878" s="51"/>
      <c r="V878" s="51"/>
      <c r="X878" s="51"/>
    </row>
    <row r="879" spans="6:24">
      <c r="F879" s="51"/>
      <c r="H879" s="51"/>
      <c r="L879" s="51"/>
      <c r="P879" s="51"/>
      <c r="T879" s="51"/>
      <c r="V879" s="51"/>
      <c r="X879" s="51"/>
    </row>
    <row r="880" spans="6:24">
      <c r="F880" s="51"/>
      <c r="H880" s="51"/>
      <c r="L880" s="51"/>
      <c r="P880" s="51"/>
      <c r="T880" s="51"/>
      <c r="V880" s="51"/>
      <c r="X880" s="51"/>
    </row>
    <row r="881" spans="6:24">
      <c r="F881" s="51"/>
      <c r="H881" s="51"/>
      <c r="L881" s="51"/>
      <c r="P881" s="51"/>
      <c r="T881" s="51"/>
      <c r="V881" s="51"/>
      <c r="X881" s="51"/>
    </row>
    <row r="882" spans="6:24">
      <c r="F882" s="51"/>
      <c r="H882" s="51"/>
      <c r="L882" s="51"/>
      <c r="P882" s="51"/>
      <c r="T882" s="51"/>
      <c r="V882" s="51"/>
      <c r="X882" s="51"/>
    </row>
    <row r="883" spans="6:24">
      <c r="F883" s="51"/>
      <c r="H883" s="51"/>
      <c r="L883" s="51"/>
      <c r="P883" s="51"/>
      <c r="T883" s="51"/>
      <c r="V883" s="51"/>
      <c r="X883" s="51"/>
    </row>
    <row r="884" spans="6:24">
      <c r="F884" s="51"/>
      <c r="H884" s="51"/>
      <c r="L884" s="51"/>
      <c r="P884" s="51"/>
      <c r="T884" s="51"/>
      <c r="V884" s="51"/>
      <c r="X884" s="51"/>
    </row>
    <row r="885" spans="6:24">
      <c r="F885" s="51"/>
      <c r="H885" s="51"/>
      <c r="L885" s="51"/>
      <c r="P885" s="51"/>
      <c r="T885" s="51"/>
      <c r="V885" s="51"/>
      <c r="X885" s="51"/>
    </row>
    <row r="886" spans="6:24">
      <c r="F886" s="51"/>
      <c r="H886" s="51"/>
      <c r="L886" s="51"/>
      <c r="P886" s="51"/>
      <c r="T886" s="51"/>
      <c r="V886" s="51"/>
      <c r="X886" s="51"/>
    </row>
    <row r="887" spans="6:24">
      <c r="F887" s="51"/>
      <c r="H887" s="51"/>
      <c r="L887" s="51"/>
      <c r="P887" s="51"/>
      <c r="T887" s="51"/>
      <c r="V887" s="51"/>
      <c r="X887" s="51"/>
    </row>
    <row r="888" spans="6:24">
      <c r="F888" s="51"/>
      <c r="H888" s="51"/>
      <c r="L888" s="51"/>
      <c r="P888" s="51"/>
      <c r="T888" s="51"/>
      <c r="V888" s="51"/>
      <c r="X888" s="51"/>
    </row>
    <row r="889" spans="6:24">
      <c r="F889" s="51"/>
      <c r="H889" s="51"/>
      <c r="L889" s="51"/>
      <c r="P889" s="51"/>
      <c r="T889" s="51"/>
      <c r="V889" s="51"/>
      <c r="X889" s="51"/>
    </row>
    <row r="890" spans="6:24">
      <c r="F890" s="51"/>
      <c r="H890" s="51"/>
      <c r="L890" s="51"/>
      <c r="P890" s="51"/>
      <c r="T890" s="51"/>
      <c r="V890" s="51"/>
      <c r="X890" s="51"/>
    </row>
    <row r="891" spans="6:24">
      <c r="F891" s="51"/>
      <c r="H891" s="51"/>
      <c r="L891" s="51"/>
      <c r="P891" s="51"/>
      <c r="T891" s="51"/>
      <c r="V891" s="51"/>
      <c r="X891" s="51"/>
    </row>
    <row r="892" spans="6:24">
      <c r="F892" s="51"/>
      <c r="H892" s="51"/>
      <c r="L892" s="51"/>
      <c r="P892" s="51"/>
      <c r="T892" s="51"/>
      <c r="V892" s="51"/>
      <c r="X892" s="51"/>
    </row>
    <row r="893" spans="6:24">
      <c r="F893" s="51"/>
      <c r="H893" s="51"/>
      <c r="L893" s="51"/>
      <c r="P893" s="51"/>
      <c r="T893" s="51"/>
      <c r="V893" s="51"/>
      <c r="X893" s="51"/>
    </row>
    <row r="894" spans="6:24">
      <c r="F894" s="51"/>
      <c r="H894" s="51"/>
      <c r="L894" s="51"/>
      <c r="P894" s="51"/>
      <c r="T894" s="51"/>
      <c r="V894" s="51"/>
      <c r="X894" s="51"/>
    </row>
    <row r="895" spans="6:24">
      <c r="F895" s="51"/>
      <c r="H895" s="51"/>
      <c r="L895" s="51"/>
      <c r="P895" s="51"/>
      <c r="T895" s="51"/>
      <c r="V895" s="51"/>
      <c r="X895" s="51"/>
    </row>
    <row r="896" spans="6:24">
      <c r="F896" s="51"/>
      <c r="H896" s="51"/>
      <c r="L896" s="51"/>
      <c r="P896" s="51"/>
      <c r="T896" s="51"/>
      <c r="V896" s="51"/>
      <c r="X896" s="51"/>
    </row>
    <row r="897" spans="6:24">
      <c r="F897" s="51"/>
      <c r="H897" s="51"/>
      <c r="L897" s="51"/>
      <c r="P897" s="51"/>
      <c r="T897" s="51"/>
      <c r="V897" s="51"/>
      <c r="X897" s="51"/>
    </row>
    <row r="898" spans="6:24">
      <c r="F898" s="51"/>
      <c r="H898" s="51"/>
      <c r="L898" s="51"/>
      <c r="P898" s="51"/>
      <c r="T898" s="51"/>
      <c r="V898" s="51"/>
      <c r="X898" s="51"/>
    </row>
    <row r="899" spans="6:24">
      <c r="F899" s="51"/>
      <c r="H899" s="51"/>
      <c r="L899" s="51"/>
      <c r="P899" s="51"/>
      <c r="T899" s="51"/>
      <c r="V899" s="51"/>
      <c r="X899" s="51"/>
    </row>
    <row r="900" spans="6:24">
      <c r="F900" s="51"/>
      <c r="H900" s="51"/>
      <c r="L900" s="51"/>
      <c r="P900" s="51"/>
      <c r="T900" s="51"/>
      <c r="V900" s="51"/>
      <c r="X900" s="51"/>
    </row>
    <row r="901" spans="6:24">
      <c r="F901" s="51"/>
      <c r="H901" s="51"/>
      <c r="L901" s="51"/>
      <c r="P901" s="51"/>
      <c r="T901" s="51"/>
      <c r="V901" s="51"/>
      <c r="X901" s="51"/>
    </row>
    <row r="902" spans="6:24">
      <c r="F902" s="51"/>
      <c r="H902" s="51"/>
      <c r="L902" s="51"/>
      <c r="P902" s="51"/>
      <c r="T902" s="51"/>
      <c r="V902" s="51"/>
      <c r="X902" s="51"/>
    </row>
    <row r="903" spans="6:24">
      <c r="F903" s="51"/>
      <c r="H903" s="51"/>
      <c r="L903" s="51"/>
      <c r="P903" s="51"/>
      <c r="T903" s="51"/>
      <c r="V903" s="51"/>
      <c r="X903" s="51"/>
    </row>
    <row r="904" spans="6:24">
      <c r="F904" s="51"/>
      <c r="H904" s="51"/>
      <c r="L904" s="51"/>
      <c r="P904" s="51"/>
      <c r="T904" s="51"/>
      <c r="V904" s="51"/>
      <c r="X904" s="51"/>
    </row>
    <row r="905" spans="6:24">
      <c r="F905" s="51"/>
      <c r="H905" s="51"/>
      <c r="L905" s="51"/>
      <c r="P905" s="51"/>
      <c r="T905" s="51"/>
      <c r="V905" s="51"/>
      <c r="X905" s="51"/>
    </row>
    <row r="906" spans="6:24">
      <c r="F906" s="51"/>
      <c r="H906" s="51"/>
      <c r="L906" s="51"/>
      <c r="P906" s="51"/>
      <c r="T906" s="51"/>
      <c r="V906" s="51"/>
      <c r="X906" s="51"/>
    </row>
    <row r="907" spans="6:24">
      <c r="F907" s="51"/>
      <c r="H907" s="51"/>
      <c r="L907" s="51"/>
      <c r="P907" s="51"/>
      <c r="T907" s="51"/>
      <c r="V907" s="51"/>
      <c r="X907" s="51"/>
    </row>
    <row r="908" spans="6:24">
      <c r="F908" s="51"/>
      <c r="H908" s="51"/>
      <c r="L908" s="51"/>
      <c r="P908" s="51"/>
      <c r="T908" s="51"/>
      <c r="V908" s="51"/>
      <c r="X908" s="51"/>
    </row>
    <row r="909" spans="6:24">
      <c r="F909" s="51"/>
      <c r="H909" s="51"/>
      <c r="L909" s="51"/>
      <c r="P909" s="51"/>
      <c r="T909" s="51"/>
      <c r="V909" s="51"/>
      <c r="X909" s="51"/>
    </row>
    <row r="910" spans="6:24">
      <c r="F910" s="51"/>
      <c r="H910" s="51"/>
      <c r="L910" s="51"/>
      <c r="P910" s="51"/>
      <c r="T910" s="51"/>
      <c r="V910" s="51"/>
      <c r="X910" s="51"/>
    </row>
    <row r="911" spans="6:24">
      <c r="F911" s="51"/>
      <c r="H911" s="51"/>
      <c r="L911" s="51"/>
      <c r="P911" s="51"/>
      <c r="T911" s="51"/>
      <c r="V911" s="51"/>
      <c r="X911" s="51"/>
    </row>
    <row r="912" spans="6:24">
      <c r="F912" s="51"/>
      <c r="H912" s="51"/>
      <c r="L912" s="51"/>
      <c r="P912" s="51"/>
      <c r="T912" s="51"/>
      <c r="V912" s="51"/>
      <c r="X912" s="51"/>
    </row>
    <row r="913" spans="6:24">
      <c r="F913" s="51"/>
      <c r="H913" s="51"/>
      <c r="L913" s="51"/>
      <c r="P913" s="51"/>
      <c r="T913" s="51"/>
      <c r="V913" s="51"/>
      <c r="X913" s="51"/>
    </row>
    <row r="914" spans="6:24">
      <c r="F914" s="51"/>
      <c r="H914" s="51"/>
      <c r="L914" s="51"/>
      <c r="P914" s="51"/>
      <c r="T914" s="51"/>
      <c r="V914" s="51"/>
      <c r="X914" s="51"/>
    </row>
    <row r="915" spans="6:24">
      <c r="F915" s="51"/>
      <c r="H915" s="51"/>
      <c r="L915" s="51"/>
      <c r="P915" s="51"/>
      <c r="T915" s="51"/>
      <c r="V915" s="51"/>
      <c r="X915" s="51"/>
    </row>
    <row r="916" spans="6:24">
      <c r="F916" s="51"/>
      <c r="H916" s="51"/>
      <c r="L916" s="51"/>
      <c r="P916" s="51"/>
      <c r="T916" s="51"/>
      <c r="V916" s="51"/>
      <c r="X916" s="51"/>
    </row>
    <row r="917" spans="6:24">
      <c r="F917" s="51"/>
      <c r="H917" s="51"/>
      <c r="L917" s="51"/>
      <c r="P917" s="51"/>
      <c r="T917" s="51"/>
      <c r="V917" s="51"/>
      <c r="X917" s="51"/>
    </row>
    <row r="918" spans="6:24">
      <c r="F918" s="51"/>
      <c r="H918" s="51"/>
      <c r="L918" s="51"/>
      <c r="P918" s="51"/>
      <c r="T918" s="51"/>
      <c r="V918" s="51"/>
      <c r="X918" s="51"/>
    </row>
    <row r="919" spans="6:24">
      <c r="F919" s="51"/>
      <c r="H919" s="51"/>
      <c r="L919" s="51"/>
      <c r="P919" s="51"/>
      <c r="T919" s="51"/>
      <c r="V919" s="51"/>
      <c r="X919" s="51"/>
    </row>
    <row r="920" spans="6:24">
      <c r="F920" s="51"/>
      <c r="H920" s="51"/>
      <c r="L920" s="51"/>
      <c r="P920" s="51"/>
      <c r="T920" s="51"/>
      <c r="V920" s="51"/>
      <c r="X920" s="51"/>
    </row>
    <row r="921" spans="6:24">
      <c r="F921" s="51"/>
      <c r="H921" s="51"/>
      <c r="L921" s="51"/>
      <c r="P921" s="51"/>
      <c r="T921" s="51"/>
      <c r="V921" s="51"/>
      <c r="X921" s="51"/>
    </row>
    <row r="922" spans="6:24">
      <c r="F922" s="51"/>
      <c r="H922" s="51"/>
      <c r="L922" s="51"/>
      <c r="P922" s="51"/>
      <c r="T922" s="51"/>
      <c r="V922" s="51"/>
      <c r="X922" s="51"/>
    </row>
    <row r="923" spans="6:24">
      <c r="F923" s="51"/>
      <c r="H923" s="51"/>
      <c r="L923" s="51"/>
      <c r="P923" s="51"/>
      <c r="T923" s="51"/>
      <c r="V923" s="51"/>
      <c r="X923" s="51"/>
    </row>
    <row r="924" spans="6:24">
      <c r="F924" s="51"/>
      <c r="H924" s="51"/>
      <c r="L924" s="51"/>
      <c r="P924" s="51"/>
      <c r="T924" s="51"/>
      <c r="V924" s="51"/>
      <c r="X924" s="51"/>
    </row>
    <row r="925" spans="6:24">
      <c r="F925" s="51"/>
      <c r="H925" s="51"/>
      <c r="L925" s="51"/>
      <c r="P925" s="51"/>
      <c r="T925" s="51"/>
      <c r="V925" s="51"/>
      <c r="X925" s="51"/>
    </row>
    <row r="926" spans="6:24">
      <c r="F926" s="51"/>
      <c r="H926" s="51"/>
      <c r="L926" s="51"/>
      <c r="P926" s="51"/>
      <c r="T926" s="51"/>
      <c r="V926" s="51"/>
      <c r="X926" s="51"/>
    </row>
    <row r="927" spans="6:24">
      <c r="F927" s="51"/>
      <c r="H927" s="51"/>
      <c r="L927" s="51"/>
      <c r="P927" s="51"/>
      <c r="T927" s="51"/>
      <c r="V927" s="51"/>
      <c r="X927" s="51"/>
    </row>
    <row r="928" spans="6:24">
      <c r="F928" s="51"/>
      <c r="H928" s="51"/>
      <c r="L928" s="51"/>
      <c r="P928" s="51"/>
      <c r="T928" s="51"/>
      <c r="V928" s="51"/>
      <c r="X928" s="51"/>
    </row>
    <row r="929" spans="6:24">
      <c r="F929" s="51"/>
      <c r="H929" s="51"/>
      <c r="L929" s="51"/>
      <c r="P929" s="51"/>
      <c r="T929" s="51"/>
      <c r="V929" s="51"/>
      <c r="X929" s="51"/>
    </row>
    <row r="930" spans="6:24">
      <c r="F930" s="51"/>
      <c r="H930" s="51"/>
      <c r="L930" s="51"/>
      <c r="P930" s="51"/>
      <c r="T930" s="51"/>
      <c r="V930" s="51"/>
      <c r="X930" s="51"/>
    </row>
    <row r="931" spans="6:24">
      <c r="F931" s="51"/>
      <c r="H931" s="51"/>
      <c r="L931" s="51"/>
      <c r="P931" s="51"/>
      <c r="T931" s="51"/>
      <c r="V931" s="51"/>
      <c r="X931" s="51"/>
    </row>
    <row r="932" spans="6:24">
      <c r="F932" s="51"/>
      <c r="H932" s="51"/>
      <c r="L932" s="51"/>
      <c r="P932" s="51"/>
      <c r="T932" s="51"/>
      <c r="V932" s="51"/>
      <c r="X932" s="51"/>
    </row>
    <row r="933" spans="6:24">
      <c r="F933" s="51"/>
      <c r="H933" s="51"/>
      <c r="L933" s="51"/>
      <c r="P933" s="51"/>
      <c r="T933" s="51"/>
      <c r="V933" s="51"/>
      <c r="X933" s="51"/>
    </row>
    <row r="934" spans="6:24">
      <c r="F934" s="51"/>
      <c r="H934" s="51"/>
      <c r="L934" s="51"/>
      <c r="P934" s="51"/>
      <c r="T934" s="51"/>
      <c r="V934" s="51"/>
      <c r="X934" s="51"/>
    </row>
    <row r="935" spans="6:24">
      <c r="F935" s="51"/>
      <c r="H935" s="51"/>
      <c r="L935" s="51"/>
      <c r="P935" s="51"/>
      <c r="T935" s="51"/>
      <c r="V935" s="51"/>
      <c r="X935" s="51"/>
    </row>
    <row r="936" spans="6:24">
      <c r="F936" s="51"/>
      <c r="H936" s="51"/>
      <c r="L936" s="51"/>
      <c r="P936" s="51"/>
      <c r="T936" s="51"/>
      <c r="V936" s="51"/>
      <c r="X936" s="51"/>
    </row>
    <row r="937" spans="6:24">
      <c r="F937" s="51"/>
      <c r="H937" s="51"/>
      <c r="L937" s="51"/>
      <c r="P937" s="51"/>
      <c r="T937" s="51"/>
      <c r="V937" s="51"/>
      <c r="X937" s="51"/>
    </row>
    <row r="938" spans="6:24">
      <c r="F938" s="51"/>
      <c r="H938" s="51"/>
      <c r="L938" s="51"/>
      <c r="P938" s="51"/>
      <c r="T938" s="51"/>
      <c r="V938" s="51"/>
      <c r="X938" s="51"/>
    </row>
    <row r="939" spans="6:24">
      <c r="F939" s="51"/>
      <c r="H939" s="51"/>
      <c r="L939" s="51"/>
      <c r="P939" s="51"/>
      <c r="T939" s="51"/>
      <c r="V939" s="51"/>
      <c r="X939" s="51"/>
    </row>
    <row r="940" spans="6:24">
      <c r="F940" s="51"/>
      <c r="H940" s="51"/>
      <c r="L940" s="51"/>
      <c r="P940" s="51"/>
      <c r="T940" s="51"/>
      <c r="V940" s="51"/>
      <c r="X940" s="51"/>
    </row>
    <row r="941" spans="6:24">
      <c r="F941" s="51"/>
      <c r="H941" s="51"/>
      <c r="L941" s="51"/>
      <c r="P941" s="51"/>
      <c r="T941" s="51"/>
      <c r="V941" s="51"/>
      <c r="X941" s="51"/>
    </row>
    <row r="942" spans="6:24">
      <c r="F942" s="51"/>
      <c r="H942" s="51"/>
      <c r="L942" s="51"/>
      <c r="P942" s="51"/>
      <c r="T942" s="51"/>
      <c r="V942" s="51"/>
      <c r="X942" s="51"/>
    </row>
    <row r="943" spans="6:24">
      <c r="F943" s="51"/>
      <c r="H943" s="51"/>
      <c r="L943" s="51"/>
      <c r="P943" s="51"/>
      <c r="T943" s="51"/>
      <c r="V943" s="51"/>
      <c r="X943" s="51"/>
    </row>
    <row r="944" spans="6:24">
      <c r="F944" s="51"/>
      <c r="H944" s="51"/>
      <c r="L944" s="51"/>
      <c r="P944" s="51"/>
      <c r="T944" s="51"/>
      <c r="V944" s="51"/>
      <c r="X944" s="51"/>
    </row>
    <row r="945" spans="6:24">
      <c r="F945" s="51"/>
      <c r="H945" s="51"/>
      <c r="L945" s="51"/>
      <c r="P945" s="51"/>
      <c r="T945" s="51"/>
      <c r="V945" s="51"/>
      <c r="X945" s="51"/>
    </row>
    <row r="946" spans="6:24">
      <c r="F946" s="51"/>
      <c r="H946" s="51"/>
      <c r="L946" s="51"/>
      <c r="P946" s="51"/>
      <c r="T946" s="51"/>
      <c r="V946" s="51"/>
      <c r="X946" s="51"/>
    </row>
    <row r="947" spans="6:24">
      <c r="F947" s="51"/>
      <c r="H947" s="51"/>
      <c r="L947" s="51"/>
      <c r="P947" s="51"/>
      <c r="T947" s="51"/>
      <c r="V947" s="51"/>
      <c r="X947" s="51"/>
    </row>
    <row r="948" spans="6:24">
      <c r="F948" s="51"/>
      <c r="H948" s="51"/>
      <c r="L948" s="51"/>
      <c r="P948" s="51"/>
      <c r="T948" s="51"/>
      <c r="V948" s="51"/>
      <c r="X948" s="51"/>
    </row>
    <row r="949" spans="6:24">
      <c r="F949" s="51"/>
      <c r="H949" s="51"/>
      <c r="L949" s="51"/>
      <c r="P949" s="51"/>
      <c r="T949" s="51"/>
      <c r="V949" s="51"/>
      <c r="X949" s="51"/>
    </row>
    <row r="950" spans="6:24">
      <c r="F950" s="51"/>
      <c r="H950" s="51"/>
      <c r="L950" s="51"/>
      <c r="P950" s="51"/>
      <c r="T950" s="51"/>
      <c r="V950" s="51"/>
      <c r="X950" s="51"/>
    </row>
    <row r="951" spans="6:24">
      <c r="F951" s="51"/>
      <c r="H951" s="51"/>
      <c r="L951" s="51"/>
      <c r="P951" s="51"/>
      <c r="T951" s="51"/>
      <c r="V951" s="51"/>
      <c r="X951" s="51"/>
    </row>
    <row r="952" spans="6:24">
      <c r="F952" s="51"/>
      <c r="H952" s="51"/>
      <c r="L952" s="51"/>
      <c r="P952" s="51"/>
      <c r="T952" s="51"/>
      <c r="V952" s="51"/>
      <c r="X952" s="51"/>
    </row>
    <row r="953" spans="6:24">
      <c r="F953" s="51"/>
      <c r="H953" s="51"/>
      <c r="L953" s="51"/>
      <c r="P953" s="51"/>
      <c r="T953" s="51"/>
      <c r="V953" s="51"/>
      <c r="X953" s="51"/>
    </row>
    <row r="954" spans="6:24">
      <c r="F954" s="51"/>
      <c r="H954" s="51"/>
      <c r="L954" s="51"/>
      <c r="P954" s="51"/>
      <c r="T954" s="51"/>
      <c r="V954" s="51"/>
      <c r="X954" s="51"/>
    </row>
    <row r="955" spans="6:24">
      <c r="F955" s="51"/>
      <c r="H955" s="51"/>
      <c r="L955" s="51"/>
      <c r="P955" s="51"/>
      <c r="T955" s="51"/>
      <c r="V955" s="51"/>
      <c r="X955" s="51"/>
    </row>
    <row r="956" spans="6:24">
      <c r="F956" s="51"/>
      <c r="H956" s="51"/>
      <c r="L956" s="51"/>
      <c r="P956" s="51"/>
      <c r="T956" s="51"/>
      <c r="V956" s="51"/>
      <c r="X956" s="51"/>
    </row>
    <row r="957" spans="6:24">
      <c r="F957" s="51"/>
      <c r="H957" s="51"/>
      <c r="L957" s="51"/>
      <c r="P957" s="51"/>
      <c r="T957" s="51"/>
      <c r="V957" s="51"/>
      <c r="X957" s="51"/>
    </row>
    <row r="958" spans="6:24">
      <c r="F958" s="51"/>
      <c r="H958" s="51"/>
      <c r="L958" s="51"/>
      <c r="P958" s="51"/>
      <c r="T958" s="51"/>
      <c r="V958" s="51"/>
      <c r="X958" s="51"/>
    </row>
    <row r="959" spans="6:24">
      <c r="F959" s="51"/>
      <c r="H959" s="51"/>
      <c r="L959" s="51"/>
      <c r="P959" s="51"/>
      <c r="T959" s="51"/>
      <c r="V959" s="51"/>
      <c r="X959" s="51"/>
    </row>
    <row r="960" spans="6:24">
      <c r="F960" s="51"/>
      <c r="H960" s="51"/>
      <c r="L960" s="51"/>
      <c r="P960" s="51"/>
      <c r="T960" s="51"/>
      <c r="V960" s="51"/>
      <c r="X960" s="51"/>
    </row>
    <row r="961" spans="6:24">
      <c r="F961" s="51"/>
      <c r="H961" s="51"/>
      <c r="L961" s="51"/>
      <c r="P961" s="51"/>
      <c r="T961" s="51"/>
      <c r="V961" s="51"/>
      <c r="X961" s="51"/>
    </row>
    <row r="962" spans="6:24">
      <c r="F962" s="51"/>
      <c r="H962" s="51"/>
      <c r="L962" s="51"/>
      <c r="P962" s="51"/>
      <c r="T962" s="51"/>
      <c r="V962" s="51"/>
      <c r="X962" s="51"/>
    </row>
    <row r="963" spans="6:24">
      <c r="F963" s="51"/>
      <c r="H963" s="51"/>
      <c r="L963" s="51"/>
      <c r="P963" s="51"/>
      <c r="T963" s="51"/>
      <c r="V963" s="51"/>
      <c r="X963" s="51"/>
    </row>
    <row r="964" spans="6:24">
      <c r="F964" s="51"/>
      <c r="H964" s="51"/>
      <c r="L964" s="51"/>
      <c r="P964" s="51"/>
      <c r="T964" s="51"/>
      <c r="V964" s="51"/>
      <c r="X964" s="51"/>
    </row>
    <row r="965" spans="6:24">
      <c r="F965" s="51"/>
      <c r="H965" s="51"/>
      <c r="L965" s="51"/>
      <c r="P965" s="51"/>
      <c r="T965" s="51"/>
      <c r="V965" s="51"/>
      <c r="X965" s="51"/>
    </row>
    <row r="966" spans="6:24">
      <c r="F966" s="51"/>
      <c r="H966" s="51"/>
      <c r="L966" s="51"/>
      <c r="P966" s="51"/>
      <c r="T966" s="51"/>
      <c r="V966" s="51"/>
      <c r="X966" s="51"/>
    </row>
    <row r="967" spans="6:24">
      <c r="F967" s="51"/>
      <c r="H967" s="51"/>
      <c r="L967" s="51"/>
      <c r="P967" s="51"/>
      <c r="T967" s="51"/>
      <c r="V967" s="51"/>
      <c r="X967" s="51"/>
    </row>
    <row r="968" spans="6:24">
      <c r="F968" s="51"/>
      <c r="H968" s="51"/>
      <c r="L968" s="51"/>
      <c r="P968" s="51"/>
      <c r="T968" s="51"/>
      <c r="V968" s="51"/>
      <c r="X968" s="51"/>
    </row>
    <row r="969" spans="6:24">
      <c r="F969" s="51"/>
      <c r="H969" s="51"/>
      <c r="L969" s="51"/>
      <c r="P969" s="51"/>
      <c r="T969" s="51"/>
      <c r="V969" s="51"/>
      <c r="X969" s="51"/>
    </row>
    <row r="970" spans="6:24">
      <c r="F970" s="51"/>
      <c r="H970" s="51"/>
      <c r="L970" s="51"/>
      <c r="P970" s="51"/>
      <c r="T970" s="51"/>
      <c r="V970" s="51"/>
      <c r="X970" s="51"/>
    </row>
    <row r="971" spans="6:24">
      <c r="F971" s="51"/>
      <c r="H971" s="51"/>
      <c r="L971" s="51"/>
      <c r="P971" s="51"/>
      <c r="T971" s="51"/>
      <c r="V971" s="51"/>
      <c r="X971" s="51"/>
    </row>
    <row r="972" spans="6:24">
      <c r="F972" s="51"/>
      <c r="H972" s="51"/>
      <c r="L972" s="51"/>
      <c r="P972" s="51"/>
      <c r="T972" s="51"/>
      <c r="V972" s="51"/>
      <c r="X972" s="51"/>
    </row>
    <row r="973" spans="6:24">
      <c r="F973" s="51"/>
      <c r="H973" s="51"/>
      <c r="L973" s="51"/>
      <c r="P973" s="51"/>
      <c r="T973" s="51"/>
      <c r="V973" s="51"/>
      <c r="X973" s="51"/>
    </row>
    <row r="974" spans="6:24">
      <c r="F974" s="51"/>
      <c r="H974" s="51"/>
      <c r="L974" s="51"/>
      <c r="P974" s="51"/>
      <c r="T974" s="51"/>
      <c r="V974" s="51"/>
      <c r="X974" s="51"/>
    </row>
    <row r="975" spans="6:24">
      <c r="F975" s="51"/>
      <c r="H975" s="51"/>
      <c r="L975" s="51"/>
      <c r="P975" s="51"/>
      <c r="T975" s="51"/>
      <c r="V975" s="51"/>
      <c r="X975" s="51"/>
    </row>
    <row r="976" spans="6:24">
      <c r="F976" s="51"/>
      <c r="H976" s="51"/>
      <c r="L976" s="51"/>
      <c r="P976" s="51"/>
      <c r="T976" s="51"/>
      <c r="V976" s="51"/>
      <c r="X976" s="51"/>
    </row>
    <row r="977" spans="6:24">
      <c r="F977" s="51"/>
      <c r="H977" s="51"/>
      <c r="L977" s="51"/>
      <c r="P977" s="51"/>
      <c r="T977" s="51"/>
      <c r="V977" s="51"/>
      <c r="X977" s="51"/>
    </row>
    <row r="978" spans="6:24">
      <c r="F978" s="51"/>
      <c r="H978" s="51"/>
      <c r="L978" s="51"/>
      <c r="P978" s="51"/>
      <c r="T978" s="51"/>
      <c r="V978" s="51"/>
      <c r="X978" s="51"/>
    </row>
    <row r="979" spans="6:24">
      <c r="F979" s="51"/>
      <c r="H979" s="51"/>
      <c r="L979" s="51"/>
      <c r="P979" s="51"/>
      <c r="T979" s="51"/>
      <c r="V979" s="51"/>
      <c r="X979" s="51"/>
    </row>
    <row r="980" spans="6:24">
      <c r="F980" s="51"/>
      <c r="H980" s="51"/>
      <c r="L980" s="51"/>
      <c r="P980" s="51"/>
      <c r="T980" s="51"/>
      <c r="V980" s="51"/>
      <c r="X980" s="51"/>
    </row>
    <row r="981" spans="6:24">
      <c r="F981" s="51"/>
      <c r="H981" s="51"/>
      <c r="L981" s="51"/>
      <c r="P981" s="51"/>
      <c r="T981" s="51"/>
      <c r="V981" s="51"/>
      <c r="X981" s="51"/>
    </row>
    <row r="982" spans="6:24">
      <c r="F982" s="51"/>
      <c r="H982" s="51"/>
      <c r="L982" s="51"/>
      <c r="P982" s="51"/>
      <c r="T982" s="51"/>
      <c r="V982" s="51"/>
      <c r="X982" s="51"/>
    </row>
    <row r="983" spans="6:24">
      <c r="F983" s="51"/>
      <c r="H983" s="51"/>
      <c r="L983" s="51"/>
      <c r="P983" s="51"/>
      <c r="T983" s="51"/>
      <c r="V983" s="51"/>
      <c r="X983" s="51"/>
    </row>
    <row r="984" spans="6:24">
      <c r="F984" s="51"/>
      <c r="H984" s="51"/>
      <c r="L984" s="51"/>
      <c r="P984" s="51"/>
      <c r="T984" s="51"/>
      <c r="V984" s="51"/>
      <c r="X984" s="51"/>
    </row>
    <row r="985" spans="6:24">
      <c r="F985" s="51"/>
      <c r="H985" s="51"/>
      <c r="L985" s="51"/>
      <c r="P985" s="51"/>
      <c r="T985" s="51"/>
      <c r="V985" s="51"/>
      <c r="X985" s="51"/>
    </row>
    <row r="986" spans="6:24">
      <c r="F986" s="51"/>
      <c r="H986" s="51"/>
      <c r="L986" s="51"/>
      <c r="P986" s="51"/>
      <c r="T986" s="51"/>
      <c r="V986" s="51"/>
      <c r="X986" s="51"/>
    </row>
    <row r="987" spans="6:24">
      <c r="F987" s="51"/>
      <c r="H987" s="51"/>
      <c r="L987" s="51"/>
      <c r="P987" s="51"/>
      <c r="T987" s="51"/>
      <c r="V987" s="51"/>
      <c r="X987" s="51"/>
    </row>
    <row r="988" spans="6:24">
      <c r="F988" s="51"/>
      <c r="H988" s="51"/>
      <c r="L988" s="51"/>
      <c r="P988" s="51"/>
      <c r="T988" s="51"/>
      <c r="V988" s="51"/>
      <c r="X988" s="51"/>
    </row>
    <row r="989" spans="6:24">
      <c r="F989" s="51"/>
      <c r="H989" s="51"/>
      <c r="L989" s="51"/>
      <c r="P989" s="51"/>
      <c r="T989" s="51"/>
      <c r="V989" s="51"/>
      <c r="X989" s="51"/>
    </row>
    <row r="990" spans="6:24">
      <c r="F990" s="51"/>
      <c r="H990" s="51"/>
      <c r="L990" s="51"/>
      <c r="P990" s="51"/>
      <c r="T990" s="51"/>
      <c r="V990" s="51"/>
      <c r="X990" s="51"/>
    </row>
    <row r="991" spans="6:24">
      <c r="F991" s="51"/>
      <c r="H991" s="51"/>
      <c r="L991" s="51"/>
      <c r="P991" s="51"/>
      <c r="T991" s="51"/>
      <c r="V991" s="51"/>
      <c r="X991" s="51"/>
    </row>
    <row r="992" spans="6:24">
      <c r="F992" s="51"/>
      <c r="H992" s="51"/>
      <c r="L992" s="51"/>
      <c r="P992" s="51"/>
      <c r="T992" s="51"/>
      <c r="V992" s="51"/>
      <c r="X992" s="51"/>
    </row>
    <row r="993" spans="6:24">
      <c r="F993" s="51"/>
      <c r="H993" s="51"/>
      <c r="L993" s="51"/>
      <c r="P993" s="51"/>
      <c r="T993" s="51"/>
      <c r="V993" s="51"/>
      <c r="X993" s="51"/>
    </row>
    <row r="994" spans="6:24">
      <c r="F994" s="51"/>
      <c r="H994" s="51"/>
      <c r="L994" s="51"/>
      <c r="P994" s="51"/>
      <c r="T994" s="51"/>
      <c r="V994" s="51"/>
      <c r="X994" s="51"/>
    </row>
    <row r="995" spans="6:24">
      <c r="F995" s="51"/>
      <c r="H995" s="51"/>
      <c r="L995" s="51"/>
      <c r="P995" s="51"/>
      <c r="T995" s="51"/>
      <c r="V995" s="51"/>
      <c r="X995" s="51"/>
    </row>
    <row r="996" spans="6:24">
      <c r="F996" s="51"/>
      <c r="H996" s="51"/>
      <c r="L996" s="51"/>
      <c r="P996" s="51"/>
      <c r="T996" s="51"/>
      <c r="V996" s="51"/>
      <c r="X996" s="51"/>
    </row>
    <row r="997" spans="6:24">
      <c r="F997" s="51"/>
      <c r="H997" s="51"/>
      <c r="L997" s="51"/>
      <c r="P997" s="51"/>
      <c r="T997" s="51"/>
      <c r="V997" s="51"/>
      <c r="X997" s="51"/>
    </row>
    <row r="998" spans="6:24">
      <c r="F998" s="51"/>
      <c r="H998" s="51"/>
      <c r="L998" s="51"/>
      <c r="P998" s="51"/>
      <c r="T998" s="51"/>
      <c r="V998" s="51"/>
      <c r="X998" s="51"/>
    </row>
    <row r="999" spans="6:24">
      <c r="F999" s="51"/>
      <c r="H999" s="51"/>
      <c r="L999" s="51"/>
      <c r="P999" s="51"/>
      <c r="T999" s="51"/>
      <c r="V999" s="51"/>
      <c r="X999" s="51"/>
    </row>
    <row r="1000" spans="6:24">
      <c r="F1000" s="51"/>
      <c r="H1000" s="51"/>
      <c r="L1000" s="51"/>
      <c r="P1000" s="51"/>
      <c r="T1000" s="51"/>
      <c r="V1000" s="51"/>
      <c r="X1000" s="51"/>
    </row>
    <row r="1001" spans="6:24">
      <c r="F1001" s="51"/>
      <c r="H1001" s="51"/>
      <c r="L1001" s="51"/>
      <c r="P1001" s="51"/>
      <c r="T1001" s="51"/>
      <c r="V1001" s="51"/>
      <c r="X1001" s="51"/>
    </row>
    <row r="1002" spans="6:24">
      <c r="F1002" s="51"/>
      <c r="H1002" s="51"/>
      <c r="L1002" s="51"/>
      <c r="P1002" s="51"/>
      <c r="T1002" s="51"/>
      <c r="V1002" s="51"/>
      <c r="X1002" s="51"/>
    </row>
    <row r="1003" spans="6:24">
      <c r="F1003" s="51"/>
      <c r="H1003" s="51"/>
      <c r="L1003" s="51"/>
      <c r="P1003" s="51"/>
      <c r="T1003" s="51"/>
      <c r="V1003" s="51"/>
      <c r="X1003" s="51"/>
    </row>
    <row r="1004" spans="6:24">
      <c r="F1004" s="51"/>
      <c r="H1004" s="51"/>
      <c r="L1004" s="51"/>
      <c r="P1004" s="51"/>
      <c r="T1004" s="51"/>
      <c r="V1004" s="51"/>
      <c r="X1004" s="51"/>
    </row>
    <row r="1005" spans="6:24">
      <c r="F1005" s="51"/>
      <c r="H1005" s="51"/>
      <c r="L1005" s="51"/>
      <c r="P1005" s="51"/>
      <c r="T1005" s="51"/>
      <c r="V1005" s="51"/>
      <c r="X1005" s="51"/>
    </row>
    <row r="1006" spans="6:24">
      <c r="F1006" s="51"/>
      <c r="H1006" s="51"/>
      <c r="L1006" s="51"/>
      <c r="P1006" s="51"/>
      <c r="T1006" s="51"/>
      <c r="V1006" s="51"/>
      <c r="X1006" s="51"/>
    </row>
    <row r="1007" spans="6:24">
      <c r="F1007" s="51"/>
      <c r="H1007" s="51"/>
      <c r="L1007" s="51"/>
      <c r="P1007" s="51"/>
      <c r="T1007" s="51"/>
      <c r="V1007" s="51"/>
      <c r="X1007" s="51"/>
    </row>
    <row r="1008" spans="6:24">
      <c r="F1008" s="51"/>
      <c r="H1008" s="51"/>
      <c r="L1008" s="51"/>
      <c r="P1008" s="51"/>
      <c r="T1008" s="51"/>
      <c r="V1008" s="51"/>
      <c r="X1008" s="51"/>
    </row>
    <row r="1009" spans="6:24">
      <c r="F1009" s="51"/>
      <c r="H1009" s="51"/>
      <c r="L1009" s="51"/>
      <c r="P1009" s="51"/>
      <c r="T1009" s="51"/>
      <c r="V1009" s="51"/>
      <c r="X1009" s="51"/>
    </row>
    <row r="1010" spans="6:24">
      <c r="F1010" s="51"/>
      <c r="H1010" s="51"/>
      <c r="L1010" s="51"/>
      <c r="P1010" s="51"/>
      <c r="T1010" s="51"/>
      <c r="V1010" s="51"/>
      <c r="X1010" s="51"/>
    </row>
    <row r="1011" spans="6:24">
      <c r="F1011" s="51"/>
      <c r="H1011" s="51"/>
      <c r="L1011" s="51"/>
      <c r="P1011" s="51"/>
      <c r="T1011" s="51"/>
      <c r="V1011" s="51"/>
      <c r="X1011" s="51"/>
    </row>
    <row r="1012" spans="6:24">
      <c r="F1012" s="51"/>
      <c r="H1012" s="51"/>
      <c r="L1012" s="51"/>
      <c r="P1012" s="51"/>
      <c r="T1012" s="51"/>
      <c r="V1012" s="51"/>
      <c r="X1012" s="51"/>
    </row>
    <row r="1013" spans="6:24">
      <c r="F1013" s="51"/>
      <c r="H1013" s="51"/>
      <c r="L1013" s="51"/>
      <c r="P1013" s="51"/>
      <c r="T1013" s="51"/>
      <c r="V1013" s="51"/>
      <c r="X1013" s="51"/>
    </row>
    <row r="1014" spans="6:24">
      <c r="F1014" s="51"/>
      <c r="H1014" s="51"/>
      <c r="L1014" s="51"/>
      <c r="P1014" s="51"/>
      <c r="T1014" s="51"/>
      <c r="V1014" s="51"/>
      <c r="X1014" s="51"/>
    </row>
    <row r="1015" spans="6:24">
      <c r="F1015" s="51"/>
      <c r="H1015" s="51"/>
      <c r="L1015" s="51"/>
      <c r="P1015" s="51"/>
      <c r="T1015" s="51"/>
      <c r="V1015" s="51"/>
      <c r="X1015" s="51"/>
    </row>
    <row r="1016" spans="6:24">
      <c r="F1016" s="51"/>
      <c r="H1016" s="51"/>
      <c r="L1016" s="51"/>
      <c r="P1016" s="51"/>
      <c r="T1016" s="51"/>
      <c r="V1016" s="51"/>
      <c r="X1016" s="51"/>
    </row>
    <row r="1017" spans="6:24">
      <c r="F1017" s="51"/>
      <c r="H1017" s="51"/>
      <c r="L1017" s="51"/>
      <c r="P1017" s="51"/>
      <c r="T1017" s="51"/>
      <c r="V1017" s="51"/>
      <c r="X1017" s="51"/>
    </row>
    <row r="1018" spans="6:24">
      <c r="F1018" s="51"/>
      <c r="H1018" s="51"/>
      <c r="L1018" s="51"/>
      <c r="P1018" s="51"/>
      <c r="T1018" s="51"/>
      <c r="V1018" s="51"/>
      <c r="X1018" s="51"/>
    </row>
    <row r="1019" spans="6:24">
      <c r="F1019" s="51"/>
      <c r="H1019" s="51"/>
      <c r="L1019" s="51"/>
      <c r="P1019" s="51"/>
      <c r="T1019" s="51"/>
      <c r="V1019" s="51"/>
      <c r="X1019" s="51"/>
    </row>
    <row r="1020" spans="6:24">
      <c r="F1020" s="51"/>
      <c r="H1020" s="51"/>
      <c r="L1020" s="51"/>
      <c r="P1020" s="51"/>
      <c r="T1020" s="51"/>
      <c r="V1020" s="51"/>
      <c r="X1020" s="51"/>
    </row>
    <row r="1021" spans="6:24">
      <c r="F1021" s="51"/>
      <c r="H1021" s="51"/>
      <c r="L1021" s="51"/>
      <c r="P1021" s="51"/>
      <c r="T1021" s="51"/>
      <c r="V1021" s="51"/>
      <c r="X1021" s="51"/>
    </row>
    <row r="1022" spans="6:24">
      <c r="F1022" s="51"/>
      <c r="H1022" s="51"/>
      <c r="L1022" s="51"/>
      <c r="P1022" s="51"/>
      <c r="T1022" s="51"/>
      <c r="V1022" s="51"/>
      <c r="X1022" s="51"/>
    </row>
    <row r="1023" spans="6:24">
      <c r="F1023" s="51"/>
      <c r="H1023" s="51"/>
      <c r="L1023" s="51"/>
      <c r="P1023" s="51"/>
      <c r="T1023" s="51"/>
      <c r="V1023" s="51"/>
      <c r="X1023" s="51"/>
    </row>
    <row r="1024" spans="6:24">
      <c r="F1024" s="51"/>
      <c r="H1024" s="51"/>
      <c r="L1024" s="51"/>
      <c r="P1024" s="51"/>
      <c r="T1024" s="51"/>
      <c r="V1024" s="51"/>
      <c r="X1024" s="51"/>
    </row>
    <row r="1025" spans="6:24">
      <c r="F1025" s="51"/>
      <c r="H1025" s="51"/>
      <c r="L1025" s="51"/>
      <c r="P1025" s="51"/>
      <c r="T1025" s="51"/>
      <c r="V1025" s="51"/>
      <c r="X1025" s="51"/>
    </row>
    <row r="1026" spans="6:24">
      <c r="F1026" s="51"/>
      <c r="H1026" s="51"/>
      <c r="L1026" s="51"/>
      <c r="P1026" s="51"/>
      <c r="T1026" s="51"/>
      <c r="V1026" s="51"/>
      <c r="X1026" s="51"/>
    </row>
    <row r="1027" spans="6:24">
      <c r="F1027" s="51"/>
      <c r="H1027" s="51"/>
      <c r="L1027" s="51"/>
      <c r="P1027" s="51"/>
      <c r="T1027" s="51"/>
      <c r="V1027" s="51"/>
      <c r="X1027" s="51"/>
    </row>
    <row r="1028" spans="6:24">
      <c r="F1028" s="51"/>
      <c r="H1028" s="51"/>
      <c r="L1028" s="51"/>
      <c r="P1028" s="51"/>
      <c r="T1028" s="51"/>
      <c r="V1028" s="51"/>
      <c r="X1028" s="51"/>
    </row>
    <row r="1029" spans="6:24">
      <c r="F1029" s="51"/>
      <c r="H1029" s="51"/>
      <c r="L1029" s="51"/>
      <c r="P1029" s="51"/>
      <c r="T1029" s="51"/>
      <c r="V1029" s="51"/>
      <c r="X1029" s="51"/>
    </row>
    <row r="1030" spans="6:24">
      <c r="F1030" s="51"/>
      <c r="H1030" s="51"/>
      <c r="L1030" s="51"/>
      <c r="P1030" s="51"/>
      <c r="T1030" s="51"/>
      <c r="V1030" s="51"/>
      <c r="X1030" s="51"/>
    </row>
    <row r="1031" spans="6:24">
      <c r="F1031" s="51"/>
      <c r="H1031" s="51"/>
      <c r="L1031" s="51"/>
      <c r="P1031" s="51"/>
      <c r="T1031" s="51"/>
      <c r="V1031" s="51"/>
      <c r="X1031" s="51"/>
    </row>
    <row r="1032" spans="6:24">
      <c r="F1032" s="51"/>
      <c r="H1032" s="51"/>
      <c r="L1032" s="51"/>
      <c r="P1032" s="51"/>
      <c r="T1032" s="51"/>
      <c r="V1032" s="51"/>
      <c r="X1032" s="51"/>
    </row>
    <row r="1033" spans="6:24">
      <c r="F1033" s="51"/>
      <c r="H1033" s="51"/>
      <c r="L1033" s="51"/>
      <c r="P1033" s="51"/>
      <c r="T1033" s="51"/>
      <c r="V1033" s="51"/>
      <c r="X1033" s="51"/>
    </row>
    <row r="1034" spans="6:24">
      <c r="F1034" s="51"/>
      <c r="H1034" s="51"/>
      <c r="L1034" s="51"/>
      <c r="P1034" s="51"/>
      <c r="T1034" s="51"/>
      <c r="V1034" s="51"/>
      <c r="X1034" s="51"/>
    </row>
    <row r="1035" spans="6:24">
      <c r="F1035" s="51"/>
      <c r="H1035" s="51"/>
      <c r="L1035" s="51"/>
      <c r="P1035" s="51"/>
      <c r="T1035" s="51"/>
      <c r="V1035" s="51"/>
      <c r="X1035" s="51"/>
    </row>
    <row r="1036" spans="6:24">
      <c r="F1036" s="51"/>
      <c r="H1036" s="51"/>
      <c r="L1036" s="51"/>
      <c r="P1036" s="51"/>
      <c r="T1036" s="51"/>
      <c r="V1036" s="51"/>
      <c r="X1036" s="51"/>
    </row>
    <row r="1037" spans="6:24">
      <c r="F1037" s="51"/>
      <c r="H1037" s="51"/>
      <c r="L1037" s="51"/>
      <c r="P1037" s="51"/>
      <c r="T1037" s="51"/>
      <c r="V1037" s="51"/>
      <c r="X1037" s="51"/>
    </row>
    <row r="1038" spans="6:24">
      <c r="F1038" s="51"/>
      <c r="H1038" s="51"/>
      <c r="L1038" s="51"/>
      <c r="P1038" s="51"/>
      <c r="T1038" s="51"/>
      <c r="V1038" s="51"/>
      <c r="X1038" s="51"/>
    </row>
    <row r="1039" spans="6:24">
      <c r="F1039" s="51"/>
      <c r="H1039" s="51"/>
      <c r="L1039" s="51"/>
      <c r="P1039" s="51"/>
      <c r="T1039" s="51"/>
      <c r="V1039" s="51"/>
      <c r="X1039" s="51"/>
    </row>
    <row r="1040" spans="6:24">
      <c r="F1040" s="51"/>
      <c r="H1040" s="51"/>
      <c r="L1040" s="51"/>
      <c r="P1040" s="51"/>
      <c r="T1040" s="51"/>
      <c r="V1040" s="51"/>
      <c r="X1040" s="51"/>
    </row>
    <row r="1041" spans="6:24">
      <c r="F1041" s="51"/>
      <c r="H1041" s="51"/>
      <c r="L1041" s="51"/>
      <c r="P1041" s="51"/>
      <c r="T1041" s="51"/>
      <c r="V1041" s="51"/>
      <c r="X1041" s="51"/>
    </row>
    <row r="1042" spans="6:24">
      <c r="F1042" s="51"/>
      <c r="H1042" s="51"/>
      <c r="L1042" s="51"/>
      <c r="P1042" s="51"/>
      <c r="T1042" s="51"/>
      <c r="V1042" s="51"/>
      <c r="X1042" s="51"/>
    </row>
    <row r="1043" spans="6:24">
      <c r="F1043" s="51"/>
      <c r="H1043" s="51"/>
      <c r="L1043" s="51"/>
      <c r="P1043" s="51"/>
      <c r="T1043" s="51"/>
      <c r="V1043" s="51"/>
      <c r="X1043" s="51"/>
    </row>
    <row r="1044" spans="6:24">
      <c r="F1044" s="51"/>
      <c r="H1044" s="51"/>
      <c r="L1044" s="51"/>
      <c r="P1044" s="51"/>
      <c r="T1044" s="51"/>
      <c r="V1044" s="51"/>
      <c r="X1044" s="51"/>
    </row>
    <row r="1045" spans="6:24">
      <c r="F1045" s="51"/>
      <c r="H1045" s="51"/>
      <c r="L1045" s="51"/>
      <c r="P1045" s="51"/>
      <c r="T1045" s="51"/>
      <c r="V1045" s="51"/>
      <c r="X1045" s="51"/>
    </row>
    <row r="1046" spans="6:24">
      <c r="F1046" s="51"/>
      <c r="H1046" s="51"/>
      <c r="L1046" s="51"/>
      <c r="P1046" s="51"/>
      <c r="T1046" s="51"/>
      <c r="V1046" s="51"/>
      <c r="X1046" s="51"/>
    </row>
    <row r="1047" spans="6:24">
      <c r="F1047" s="51"/>
      <c r="H1047" s="51"/>
      <c r="L1047" s="51"/>
      <c r="P1047" s="51"/>
      <c r="T1047" s="51"/>
      <c r="V1047" s="51"/>
      <c r="X1047" s="51"/>
    </row>
    <row r="1048" spans="6:24">
      <c r="F1048" s="51"/>
      <c r="H1048" s="51"/>
      <c r="L1048" s="51"/>
      <c r="P1048" s="51"/>
      <c r="T1048" s="51"/>
      <c r="V1048" s="51"/>
      <c r="X1048" s="51"/>
    </row>
    <row r="1049" spans="6:24">
      <c r="F1049" s="51"/>
      <c r="H1049" s="51"/>
      <c r="L1049" s="51"/>
      <c r="P1049" s="51"/>
      <c r="T1049" s="51"/>
      <c r="V1049" s="51"/>
      <c r="X1049" s="51"/>
    </row>
    <row r="1050" spans="6:24">
      <c r="F1050" s="51"/>
      <c r="H1050" s="51"/>
      <c r="L1050" s="51"/>
      <c r="P1050" s="51"/>
      <c r="T1050" s="51"/>
      <c r="V1050" s="51"/>
      <c r="X1050" s="51"/>
    </row>
    <row r="1051" spans="6:24">
      <c r="F1051" s="51"/>
      <c r="H1051" s="51"/>
      <c r="L1051" s="51"/>
      <c r="P1051" s="51"/>
      <c r="T1051" s="51"/>
      <c r="V1051" s="51"/>
      <c r="X1051" s="51"/>
    </row>
    <row r="1052" spans="6:24">
      <c r="F1052" s="51"/>
      <c r="H1052" s="51"/>
      <c r="L1052" s="51"/>
      <c r="P1052" s="51"/>
      <c r="T1052" s="51"/>
      <c r="V1052" s="51"/>
      <c r="X1052" s="51"/>
    </row>
    <row r="1053" spans="6:24">
      <c r="F1053" s="51"/>
      <c r="H1053" s="51"/>
      <c r="L1053" s="51"/>
      <c r="P1053" s="51"/>
      <c r="T1053" s="51"/>
      <c r="V1053" s="51"/>
      <c r="X1053" s="51"/>
    </row>
    <row r="1054" spans="6:24">
      <c r="F1054" s="51"/>
      <c r="H1054" s="51"/>
      <c r="L1054" s="51"/>
      <c r="P1054" s="51"/>
      <c r="T1054" s="51"/>
      <c r="V1054" s="51"/>
      <c r="X1054" s="51"/>
    </row>
    <row r="1055" spans="6:24">
      <c r="F1055" s="51"/>
      <c r="H1055" s="51"/>
      <c r="L1055" s="51"/>
      <c r="P1055" s="51"/>
      <c r="T1055" s="51"/>
      <c r="V1055" s="51"/>
      <c r="X1055" s="51"/>
    </row>
    <row r="1056" spans="6:24">
      <c r="F1056" s="51"/>
      <c r="H1056" s="51"/>
      <c r="L1056" s="51"/>
      <c r="P1056" s="51"/>
      <c r="T1056" s="51"/>
      <c r="V1056" s="51"/>
      <c r="X1056" s="51"/>
    </row>
    <row r="1057" spans="6:24">
      <c r="F1057" s="51"/>
      <c r="H1057" s="51"/>
      <c r="L1057" s="51"/>
      <c r="P1057" s="51"/>
      <c r="T1057" s="51"/>
      <c r="V1057" s="51"/>
      <c r="X1057" s="51"/>
    </row>
    <row r="1058" spans="6:24">
      <c r="F1058" s="51"/>
      <c r="H1058" s="51"/>
      <c r="L1058" s="51"/>
      <c r="P1058" s="51"/>
      <c r="T1058" s="51"/>
      <c r="V1058" s="51"/>
      <c r="X1058" s="51"/>
    </row>
    <row r="1059" spans="6:24">
      <c r="F1059" s="51"/>
      <c r="H1059" s="51"/>
      <c r="L1059" s="51"/>
      <c r="P1059" s="51"/>
      <c r="T1059" s="51"/>
      <c r="V1059" s="51"/>
      <c r="X1059" s="51"/>
    </row>
    <row r="1060" spans="6:24">
      <c r="F1060" s="51"/>
      <c r="H1060" s="51"/>
      <c r="L1060" s="51"/>
      <c r="P1060" s="51"/>
      <c r="T1060" s="51"/>
      <c r="V1060" s="51"/>
      <c r="X1060" s="51"/>
    </row>
    <row r="1061" spans="6:24">
      <c r="F1061" s="51"/>
      <c r="H1061" s="51"/>
      <c r="L1061" s="51"/>
      <c r="P1061" s="51"/>
      <c r="T1061" s="51"/>
      <c r="V1061" s="51"/>
      <c r="X1061" s="51"/>
    </row>
    <row r="1062" spans="6:24">
      <c r="F1062" s="51"/>
      <c r="H1062" s="51"/>
      <c r="L1062" s="51"/>
      <c r="P1062" s="51"/>
      <c r="T1062" s="51"/>
      <c r="V1062" s="51"/>
      <c r="X1062" s="51"/>
    </row>
    <row r="1063" spans="6:24">
      <c r="F1063" s="51"/>
      <c r="H1063" s="51"/>
      <c r="L1063" s="51"/>
      <c r="P1063" s="51"/>
      <c r="T1063" s="51"/>
      <c r="V1063" s="51"/>
      <c r="X1063" s="51"/>
    </row>
    <row r="1064" spans="6:24">
      <c r="F1064" s="51"/>
      <c r="H1064" s="51"/>
      <c r="L1064" s="51"/>
      <c r="P1064" s="51"/>
      <c r="T1064" s="51"/>
      <c r="V1064" s="51"/>
      <c r="X1064" s="51"/>
    </row>
    <row r="1065" spans="6:24">
      <c r="F1065" s="51"/>
      <c r="H1065" s="51"/>
      <c r="L1065" s="51"/>
      <c r="P1065" s="51"/>
      <c r="T1065" s="51"/>
      <c r="V1065" s="51"/>
      <c r="X1065" s="51"/>
    </row>
    <row r="1066" spans="6:24">
      <c r="F1066" s="51"/>
      <c r="H1066" s="51"/>
      <c r="L1066" s="51"/>
      <c r="P1066" s="51"/>
      <c r="T1066" s="51"/>
      <c r="V1066" s="51"/>
      <c r="X1066" s="51"/>
    </row>
    <row r="1067" spans="6:24">
      <c r="F1067" s="51"/>
      <c r="H1067" s="51"/>
      <c r="L1067" s="51"/>
      <c r="P1067" s="51"/>
      <c r="T1067" s="51"/>
      <c r="V1067" s="51"/>
      <c r="X1067" s="51"/>
    </row>
    <row r="1068" spans="6:24">
      <c r="F1068" s="51"/>
      <c r="H1068" s="51"/>
      <c r="L1068" s="51"/>
      <c r="P1068" s="51"/>
      <c r="T1068" s="51"/>
      <c r="V1068" s="51"/>
      <c r="X1068" s="51"/>
    </row>
    <row r="1069" spans="6:24">
      <c r="F1069" s="51"/>
      <c r="H1069" s="51"/>
      <c r="L1069" s="51"/>
      <c r="P1069" s="51"/>
      <c r="T1069" s="51"/>
      <c r="V1069" s="51"/>
      <c r="X1069" s="51"/>
    </row>
    <row r="1070" spans="6:24">
      <c r="F1070" s="51"/>
      <c r="H1070" s="51"/>
      <c r="L1070" s="51"/>
      <c r="P1070" s="51"/>
      <c r="T1070" s="51"/>
      <c r="V1070" s="51"/>
      <c r="X1070" s="51"/>
    </row>
    <row r="1071" spans="6:24">
      <c r="F1071" s="51"/>
      <c r="H1071" s="51"/>
      <c r="L1071" s="51"/>
      <c r="P1071" s="51"/>
      <c r="T1071" s="51"/>
      <c r="V1071" s="51"/>
      <c r="X1071" s="51"/>
    </row>
    <row r="1072" spans="6:24">
      <c r="F1072" s="51"/>
      <c r="H1072" s="51"/>
      <c r="L1072" s="51"/>
      <c r="P1072" s="51"/>
      <c r="T1072" s="51"/>
      <c r="V1072" s="51"/>
      <c r="X1072" s="51"/>
    </row>
    <row r="1073" spans="6:24">
      <c r="F1073" s="51"/>
      <c r="H1073" s="51"/>
      <c r="L1073" s="51"/>
      <c r="P1073" s="51"/>
      <c r="T1073" s="51"/>
      <c r="V1073" s="51"/>
      <c r="X1073" s="51"/>
    </row>
    <row r="1074" spans="6:24">
      <c r="F1074" s="51"/>
      <c r="H1074" s="51"/>
      <c r="L1074" s="51"/>
      <c r="P1074" s="51"/>
      <c r="T1074" s="51"/>
      <c r="V1074" s="51"/>
      <c r="X1074" s="51"/>
    </row>
    <row r="1075" spans="6:24">
      <c r="F1075" s="51"/>
      <c r="H1075" s="51"/>
      <c r="L1075" s="51"/>
      <c r="P1075" s="51"/>
      <c r="T1075" s="51"/>
      <c r="V1075" s="51"/>
      <c r="X1075" s="51"/>
    </row>
    <row r="1076" spans="6:24">
      <c r="F1076" s="51"/>
      <c r="H1076" s="51"/>
      <c r="L1076" s="51"/>
      <c r="P1076" s="51"/>
      <c r="T1076" s="51"/>
      <c r="V1076" s="51"/>
      <c r="X1076" s="51"/>
    </row>
    <row r="1077" spans="6:24">
      <c r="F1077" s="51"/>
      <c r="H1077" s="51"/>
      <c r="L1077" s="51"/>
      <c r="P1077" s="51"/>
      <c r="T1077" s="51"/>
      <c r="V1077" s="51"/>
      <c r="X1077" s="51"/>
    </row>
    <row r="1078" spans="6:24">
      <c r="F1078" s="51"/>
      <c r="H1078" s="51"/>
      <c r="L1078" s="51"/>
      <c r="P1078" s="51"/>
      <c r="T1078" s="51"/>
      <c r="V1078" s="51"/>
      <c r="X1078" s="51"/>
    </row>
    <row r="1079" spans="6:24">
      <c r="F1079" s="51"/>
      <c r="H1079" s="51"/>
      <c r="L1079" s="51"/>
      <c r="P1079" s="51"/>
      <c r="T1079" s="51"/>
      <c r="V1079" s="51"/>
      <c r="X1079" s="51"/>
    </row>
    <row r="1080" spans="6:24">
      <c r="F1080" s="51"/>
      <c r="H1080" s="51"/>
      <c r="L1080" s="51"/>
      <c r="P1080" s="51"/>
      <c r="T1080" s="51"/>
      <c r="V1080" s="51"/>
      <c r="X1080" s="51"/>
    </row>
    <row r="1081" spans="6:24">
      <c r="F1081" s="51"/>
      <c r="H1081" s="51"/>
      <c r="L1081" s="51"/>
      <c r="P1081" s="51"/>
      <c r="T1081" s="51"/>
      <c r="V1081" s="51"/>
      <c r="X1081" s="51"/>
    </row>
    <row r="1082" spans="6:24">
      <c r="F1082" s="51"/>
      <c r="H1082" s="51"/>
      <c r="L1082" s="51"/>
      <c r="P1082" s="51"/>
      <c r="T1082" s="51"/>
      <c r="V1082" s="51"/>
      <c r="X1082" s="51"/>
    </row>
    <row r="1083" spans="6:24">
      <c r="F1083" s="51"/>
      <c r="H1083" s="51"/>
      <c r="L1083" s="51"/>
      <c r="P1083" s="51"/>
      <c r="T1083" s="51"/>
      <c r="V1083" s="51"/>
      <c r="X1083" s="51"/>
    </row>
    <row r="1084" spans="6:24">
      <c r="F1084" s="51"/>
      <c r="H1084" s="51"/>
      <c r="L1084" s="51"/>
      <c r="P1084" s="51"/>
      <c r="T1084" s="51"/>
      <c r="V1084" s="51"/>
      <c r="X1084" s="51"/>
    </row>
    <row r="1085" spans="6:24">
      <c r="F1085" s="51"/>
      <c r="H1085" s="51"/>
      <c r="L1085" s="51"/>
      <c r="P1085" s="51"/>
      <c r="T1085" s="51"/>
      <c r="V1085" s="51"/>
      <c r="X1085" s="51"/>
    </row>
    <row r="1086" spans="6:24">
      <c r="F1086" s="51"/>
      <c r="H1086" s="51"/>
      <c r="L1086" s="51"/>
      <c r="P1086" s="51"/>
      <c r="T1086" s="51"/>
      <c r="V1086" s="51"/>
      <c r="X1086" s="51"/>
    </row>
    <row r="1087" spans="6:24">
      <c r="F1087" s="51"/>
      <c r="H1087" s="51"/>
      <c r="L1087" s="51"/>
      <c r="P1087" s="51"/>
      <c r="T1087" s="51"/>
      <c r="V1087" s="51"/>
      <c r="X1087" s="51"/>
    </row>
    <row r="1088" spans="6:24">
      <c r="F1088" s="51"/>
      <c r="H1088" s="51"/>
      <c r="L1088" s="51"/>
      <c r="P1088" s="51"/>
      <c r="T1088" s="51"/>
      <c r="V1088" s="51"/>
      <c r="X1088" s="51"/>
    </row>
    <row r="1089" spans="6:24">
      <c r="F1089" s="51"/>
      <c r="H1089" s="51"/>
      <c r="L1089" s="51"/>
      <c r="P1089" s="51"/>
      <c r="T1089" s="51"/>
      <c r="V1089" s="51"/>
      <c r="X1089" s="51"/>
    </row>
    <row r="1090" spans="6:24">
      <c r="F1090" s="51"/>
      <c r="H1090" s="51"/>
      <c r="L1090" s="51"/>
      <c r="P1090" s="51"/>
      <c r="T1090" s="51"/>
      <c r="V1090" s="51"/>
      <c r="X1090" s="51"/>
    </row>
    <row r="1091" spans="6:24">
      <c r="F1091" s="51"/>
      <c r="H1091" s="51"/>
      <c r="L1091" s="51"/>
      <c r="P1091" s="51"/>
      <c r="T1091" s="51"/>
      <c r="V1091" s="51"/>
      <c r="X1091" s="51"/>
    </row>
    <row r="1092" spans="6:24">
      <c r="F1092" s="51"/>
      <c r="H1092" s="51"/>
      <c r="L1092" s="51"/>
      <c r="P1092" s="51"/>
      <c r="T1092" s="51"/>
      <c r="V1092" s="51"/>
      <c r="X1092" s="51"/>
    </row>
    <row r="1093" spans="6:24">
      <c r="F1093" s="51"/>
      <c r="H1093" s="51"/>
      <c r="L1093" s="51"/>
      <c r="P1093" s="51"/>
      <c r="T1093" s="51"/>
      <c r="V1093" s="51"/>
      <c r="X1093" s="51"/>
    </row>
    <row r="1094" spans="6:24">
      <c r="F1094" s="51"/>
      <c r="H1094" s="51"/>
      <c r="L1094" s="51"/>
      <c r="P1094" s="51"/>
      <c r="T1094" s="51"/>
      <c r="V1094" s="51"/>
      <c r="X1094" s="51"/>
    </row>
    <row r="1095" spans="6:24">
      <c r="F1095" s="51"/>
      <c r="H1095" s="51"/>
      <c r="L1095" s="51"/>
      <c r="P1095" s="51"/>
      <c r="T1095" s="51"/>
      <c r="V1095" s="51"/>
      <c r="X1095" s="51"/>
    </row>
    <row r="1096" spans="6:24">
      <c r="F1096" s="51"/>
      <c r="H1096" s="51"/>
      <c r="L1096" s="51"/>
      <c r="P1096" s="51"/>
      <c r="T1096" s="51"/>
      <c r="V1096" s="51"/>
      <c r="X1096" s="51"/>
    </row>
    <row r="1097" spans="6:24">
      <c r="F1097" s="51"/>
      <c r="H1097" s="51"/>
      <c r="L1097" s="51"/>
      <c r="P1097" s="51"/>
      <c r="T1097" s="51"/>
      <c r="V1097" s="51"/>
      <c r="X1097" s="51"/>
    </row>
    <row r="1098" spans="6:24">
      <c r="F1098" s="51"/>
      <c r="H1098" s="51"/>
      <c r="L1098" s="51"/>
      <c r="P1098" s="51"/>
      <c r="T1098" s="51"/>
      <c r="V1098" s="51"/>
      <c r="X1098" s="51"/>
    </row>
    <row r="1099" spans="6:24">
      <c r="F1099" s="51"/>
      <c r="H1099" s="51"/>
      <c r="L1099" s="51"/>
      <c r="P1099" s="51"/>
      <c r="T1099" s="51"/>
      <c r="V1099" s="51"/>
      <c r="X1099" s="51"/>
    </row>
    <row r="1100" spans="6:24">
      <c r="F1100" s="51"/>
      <c r="H1100" s="51"/>
      <c r="L1100" s="51"/>
      <c r="P1100" s="51"/>
      <c r="T1100" s="51"/>
      <c r="V1100" s="51"/>
      <c r="X1100" s="51"/>
    </row>
    <row r="1101" spans="6:24">
      <c r="F1101" s="51"/>
      <c r="H1101" s="51"/>
      <c r="L1101" s="51"/>
      <c r="P1101" s="51"/>
      <c r="T1101" s="51"/>
      <c r="V1101" s="51"/>
      <c r="X1101" s="51"/>
    </row>
    <row r="1102" spans="6:24">
      <c r="F1102" s="51"/>
      <c r="H1102" s="51"/>
      <c r="L1102" s="51"/>
      <c r="P1102" s="51"/>
      <c r="T1102" s="51"/>
      <c r="V1102" s="51"/>
      <c r="X1102" s="51"/>
    </row>
    <row r="1103" spans="6:24">
      <c r="F1103" s="51"/>
      <c r="H1103" s="51"/>
      <c r="L1103" s="51"/>
      <c r="P1103" s="51"/>
      <c r="T1103" s="51"/>
      <c r="V1103" s="51"/>
      <c r="X1103" s="51"/>
    </row>
    <row r="1104" spans="6:24">
      <c r="F1104" s="51"/>
      <c r="H1104" s="51"/>
      <c r="L1104" s="51"/>
      <c r="P1104" s="51"/>
      <c r="T1104" s="51"/>
      <c r="V1104" s="51"/>
      <c r="X1104" s="51"/>
    </row>
    <row r="1105" spans="6:24">
      <c r="F1105" s="51"/>
      <c r="H1105" s="51"/>
      <c r="L1105" s="51"/>
      <c r="P1105" s="51"/>
      <c r="T1105" s="51"/>
      <c r="V1105" s="51"/>
      <c r="X1105" s="51"/>
    </row>
    <row r="1106" spans="6:24">
      <c r="F1106" s="51"/>
      <c r="H1106" s="51"/>
      <c r="L1106" s="51"/>
      <c r="P1106" s="51"/>
      <c r="T1106" s="51"/>
      <c r="V1106" s="51"/>
      <c r="X1106" s="51"/>
    </row>
    <row r="1107" spans="6:24">
      <c r="F1107" s="51"/>
      <c r="H1107" s="51"/>
      <c r="L1107" s="51"/>
      <c r="P1107" s="51"/>
      <c r="T1107" s="51"/>
      <c r="V1107" s="51"/>
      <c r="X1107" s="51"/>
    </row>
    <row r="1108" spans="6:24">
      <c r="F1108" s="51"/>
      <c r="H1108" s="51"/>
      <c r="L1108" s="51"/>
      <c r="P1108" s="51"/>
      <c r="T1108" s="51"/>
      <c r="V1108" s="51"/>
      <c r="X1108" s="51"/>
    </row>
    <row r="1109" spans="6:24">
      <c r="F1109" s="51"/>
      <c r="H1109" s="51"/>
      <c r="L1109" s="51"/>
      <c r="P1109" s="51"/>
      <c r="T1109" s="51"/>
      <c r="V1109" s="51"/>
      <c r="X1109" s="51"/>
    </row>
    <row r="1110" spans="6:24">
      <c r="F1110" s="51"/>
      <c r="H1110" s="51"/>
      <c r="L1110" s="51"/>
      <c r="P1110" s="51"/>
      <c r="T1110" s="51"/>
      <c r="V1110" s="51"/>
      <c r="X1110" s="51"/>
    </row>
    <row r="1111" spans="6:24">
      <c r="F1111" s="51"/>
      <c r="H1111" s="51"/>
      <c r="L1111" s="51"/>
      <c r="P1111" s="51"/>
      <c r="T1111" s="51"/>
      <c r="V1111" s="51"/>
      <c r="X1111" s="51"/>
    </row>
    <row r="1112" spans="6:24">
      <c r="F1112" s="51"/>
      <c r="H1112" s="51"/>
      <c r="L1112" s="51"/>
      <c r="P1112" s="51"/>
      <c r="T1112" s="51"/>
      <c r="V1112" s="51"/>
      <c r="X1112" s="51"/>
    </row>
    <row r="1113" spans="6:24">
      <c r="F1113" s="51"/>
      <c r="H1113" s="51"/>
      <c r="L1113" s="51"/>
      <c r="P1113" s="51"/>
      <c r="T1113" s="51"/>
      <c r="V1113" s="51"/>
      <c r="X1113" s="51"/>
    </row>
    <row r="1114" spans="6:24">
      <c r="F1114" s="51"/>
      <c r="H1114" s="51"/>
      <c r="L1114" s="51"/>
      <c r="P1114" s="51"/>
      <c r="T1114" s="51"/>
      <c r="V1114" s="51"/>
      <c r="X1114" s="51"/>
    </row>
    <row r="1115" spans="6:24">
      <c r="F1115" s="51"/>
      <c r="H1115" s="51"/>
      <c r="L1115" s="51"/>
      <c r="P1115" s="51"/>
      <c r="T1115" s="51"/>
      <c r="V1115" s="51"/>
      <c r="X1115" s="51"/>
    </row>
    <row r="1116" spans="6:24">
      <c r="F1116" s="51"/>
      <c r="H1116" s="51"/>
      <c r="L1116" s="51"/>
      <c r="P1116" s="51"/>
      <c r="T1116" s="51"/>
      <c r="V1116" s="51"/>
      <c r="X1116" s="51"/>
    </row>
    <row r="1117" spans="6:24">
      <c r="F1117" s="51"/>
      <c r="H1117" s="51"/>
      <c r="L1117" s="51"/>
      <c r="P1117" s="51"/>
      <c r="T1117" s="51"/>
      <c r="V1117" s="51"/>
      <c r="X1117" s="51"/>
    </row>
    <row r="1118" spans="6:24">
      <c r="F1118" s="51"/>
      <c r="H1118" s="51"/>
      <c r="L1118" s="51"/>
      <c r="P1118" s="51"/>
      <c r="T1118" s="51"/>
      <c r="V1118" s="51"/>
      <c r="X1118" s="51"/>
    </row>
    <row r="1119" spans="6:24">
      <c r="F1119" s="51"/>
      <c r="H1119" s="51"/>
      <c r="L1119" s="51"/>
      <c r="P1119" s="51"/>
      <c r="T1119" s="51"/>
      <c r="V1119" s="51"/>
      <c r="X1119" s="51"/>
    </row>
    <row r="1120" spans="6:24">
      <c r="F1120" s="51"/>
      <c r="H1120" s="51"/>
      <c r="L1120" s="51"/>
      <c r="P1120" s="51"/>
      <c r="T1120" s="51"/>
      <c r="V1120" s="51"/>
      <c r="X1120" s="51"/>
    </row>
    <row r="1121" spans="6:24">
      <c r="F1121" s="51"/>
      <c r="H1121" s="51"/>
      <c r="L1121" s="51"/>
      <c r="P1121" s="51"/>
      <c r="T1121" s="51"/>
      <c r="V1121" s="51"/>
      <c r="X1121" s="51"/>
    </row>
    <row r="1122" spans="6:24">
      <c r="F1122" s="51"/>
      <c r="H1122" s="51"/>
      <c r="L1122" s="51"/>
      <c r="P1122" s="51"/>
      <c r="T1122" s="51"/>
      <c r="V1122" s="51"/>
      <c r="X1122" s="51"/>
    </row>
    <row r="1123" spans="6:24">
      <c r="F1123" s="51"/>
      <c r="H1123" s="51"/>
      <c r="L1123" s="51"/>
      <c r="P1123" s="51"/>
      <c r="T1123" s="51"/>
      <c r="V1123" s="51"/>
      <c r="X1123" s="51"/>
    </row>
    <row r="1124" spans="6:24">
      <c r="F1124" s="51"/>
      <c r="H1124" s="51"/>
      <c r="L1124" s="51"/>
      <c r="P1124" s="51"/>
      <c r="T1124" s="51"/>
      <c r="V1124" s="51"/>
      <c r="X1124" s="51"/>
    </row>
    <row r="1125" spans="6:24">
      <c r="F1125" s="51"/>
      <c r="H1125" s="51"/>
      <c r="L1125" s="51"/>
      <c r="P1125" s="51"/>
      <c r="T1125" s="51"/>
      <c r="V1125" s="51"/>
      <c r="X1125" s="51"/>
    </row>
    <row r="1126" spans="6:24">
      <c r="F1126" s="51"/>
      <c r="H1126" s="51"/>
      <c r="L1126" s="51"/>
      <c r="P1126" s="51"/>
      <c r="T1126" s="51"/>
      <c r="V1126" s="51"/>
      <c r="X1126" s="51"/>
    </row>
    <row r="1127" spans="6:24">
      <c r="F1127" s="51"/>
      <c r="H1127" s="51"/>
      <c r="L1127" s="51"/>
      <c r="P1127" s="51"/>
      <c r="T1127" s="51"/>
      <c r="V1127" s="51"/>
      <c r="X1127" s="51"/>
    </row>
    <row r="1128" spans="6:24">
      <c r="F1128" s="51"/>
      <c r="H1128" s="51"/>
      <c r="L1128" s="51"/>
      <c r="P1128" s="51"/>
      <c r="T1128" s="51"/>
      <c r="V1128" s="51"/>
      <c r="X1128" s="51"/>
    </row>
    <row r="1129" spans="6:24">
      <c r="F1129" s="51"/>
      <c r="H1129" s="51"/>
      <c r="L1129" s="51"/>
      <c r="P1129" s="51"/>
      <c r="T1129" s="51"/>
      <c r="V1129" s="51"/>
      <c r="X1129" s="51"/>
    </row>
    <row r="1130" spans="6:24">
      <c r="F1130" s="51"/>
      <c r="H1130" s="51"/>
      <c r="L1130" s="51"/>
      <c r="P1130" s="51"/>
      <c r="T1130" s="51"/>
      <c r="V1130" s="51"/>
      <c r="X1130" s="51"/>
    </row>
    <row r="1131" spans="6:24">
      <c r="F1131" s="51"/>
      <c r="H1131" s="51"/>
      <c r="L1131" s="51"/>
      <c r="P1131" s="51"/>
      <c r="T1131" s="51"/>
      <c r="V1131" s="51"/>
      <c r="X1131" s="51"/>
    </row>
    <row r="1132" spans="6:24">
      <c r="F1132" s="51"/>
      <c r="H1132" s="51"/>
      <c r="L1132" s="51"/>
      <c r="P1132" s="51"/>
      <c r="T1132" s="51"/>
      <c r="V1132" s="51"/>
      <c r="X1132" s="51"/>
    </row>
    <row r="1133" spans="6:24">
      <c r="F1133" s="51"/>
      <c r="H1133" s="51"/>
      <c r="L1133" s="51"/>
      <c r="P1133" s="51"/>
      <c r="T1133" s="51"/>
      <c r="V1133" s="51"/>
      <c r="X1133" s="51"/>
    </row>
    <row r="1134" spans="6:24">
      <c r="F1134" s="51"/>
      <c r="H1134" s="51"/>
      <c r="L1134" s="51"/>
      <c r="P1134" s="51"/>
      <c r="T1134" s="51"/>
      <c r="V1134" s="51"/>
      <c r="X1134" s="51"/>
    </row>
    <row r="1135" spans="6:24">
      <c r="F1135" s="51"/>
      <c r="H1135" s="51"/>
      <c r="L1135" s="51"/>
      <c r="P1135" s="51"/>
      <c r="T1135" s="51"/>
      <c r="V1135" s="51"/>
      <c r="X1135" s="51"/>
    </row>
    <row r="1136" spans="6:24">
      <c r="F1136" s="51"/>
      <c r="H1136" s="51"/>
      <c r="L1136" s="51"/>
      <c r="P1136" s="51"/>
      <c r="T1136" s="51"/>
      <c r="V1136" s="51"/>
      <c r="X1136" s="51"/>
    </row>
    <row r="1137" spans="6:24">
      <c r="F1137" s="51"/>
      <c r="H1137" s="51"/>
      <c r="L1137" s="51"/>
      <c r="P1137" s="51"/>
      <c r="T1137" s="51"/>
      <c r="V1137" s="51"/>
      <c r="X1137" s="51"/>
    </row>
    <row r="1138" spans="6:24">
      <c r="F1138" s="51"/>
      <c r="H1138" s="51"/>
      <c r="L1138" s="51"/>
      <c r="P1138" s="51"/>
      <c r="T1138" s="51"/>
      <c r="V1138" s="51"/>
      <c r="X1138" s="51"/>
    </row>
    <row r="1139" spans="6:24">
      <c r="F1139" s="51"/>
      <c r="H1139" s="51"/>
      <c r="L1139" s="51"/>
      <c r="P1139" s="51"/>
      <c r="T1139" s="51"/>
      <c r="V1139" s="51"/>
      <c r="X1139" s="51"/>
    </row>
    <row r="1140" spans="6:24">
      <c r="F1140" s="51"/>
      <c r="H1140" s="51"/>
      <c r="L1140" s="51"/>
      <c r="P1140" s="51"/>
      <c r="T1140" s="51"/>
      <c r="V1140" s="51"/>
      <c r="X1140" s="51"/>
    </row>
    <row r="1141" spans="6:24">
      <c r="F1141" s="51"/>
      <c r="H1141" s="51"/>
      <c r="L1141" s="51"/>
      <c r="P1141" s="51"/>
      <c r="T1141" s="51"/>
      <c r="V1141" s="51"/>
      <c r="X1141" s="51"/>
    </row>
    <row r="1142" spans="6:24">
      <c r="F1142" s="51"/>
      <c r="H1142" s="51"/>
      <c r="L1142" s="51"/>
      <c r="P1142" s="51"/>
      <c r="T1142" s="51"/>
      <c r="V1142" s="51"/>
      <c r="X1142" s="51"/>
    </row>
    <row r="1143" spans="6:24">
      <c r="F1143" s="51"/>
      <c r="H1143" s="51"/>
      <c r="L1143" s="51"/>
      <c r="P1143" s="51"/>
      <c r="T1143" s="51"/>
      <c r="V1143" s="51"/>
      <c r="X1143" s="51"/>
    </row>
    <row r="1144" spans="6:24">
      <c r="F1144" s="51"/>
      <c r="H1144" s="51"/>
      <c r="L1144" s="51"/>
      <c r="P1144" s="51"/>
      <c r="T1144" s="51"/>
      <c r="V1144" s="51"/>
      <c r="X1144" s="51"/>
    </row>
    <row r="1145" spans="6:24">
      <c r="F1145" s="51"/>
      <c r="H1145" s="51"/>
      <c r="L1145" s="51"/>
      <c r="P1145" s="51"/>
      <c r="T1145" s="51"/>
      <c r="V1145" s="51"/>
      <c r="X1145" s="51"/>
    </row>
    <row r="1146" spans="6:24">
      <c r="F1146" s="51"/>
      <c r="H1146" s="51"/>
      <c r="L1146" s="51"/>
      <c r="P1146" s="51"/>
      <c r="T1146" s="51"/>
      <c r="V1146" s="51"/>
      <c r="X1146" s="51"/>
    </row>
    <row r="1147" spans="6:24">
      <c r="F1147" s="51"/>
      <c r="H1147" s="51"/>
      <c r="L1147" s="51"/>
      <c r="P1147" s="51"/>
      <c r="T1147" s="51"/>
      <c r="V1147" s="51"/>
      <c r="X1147" s="51"/>
    </row>
    <row r="1148" spans="6:24">
      <c r="F1148" s="51"/>
      <c r="H1148" s="51"/>
      <c r="L1148" s="51"/>
      <c r="P1148" s="51"/>
      <c r="T1148" s="51"/>
      <c r="V1148" s="51"/>
      <c r="X1148" s="51"/>
    </row>
    <row r="1149" spans="6:24">
      <c r="F1149" s="51"/>
      <c r="H1149" s="51"/>
      <c r="L1149" s="51"/>
      <c r="P1149" s="51"/>
      <c r="T1149" s="51"/>
      <c r="V1149" s="51"/>
      <c r="X1149" s="51"/>
    </row>
    <row r="1150" spans="6:24">
      <c r="F1150" s="51"/>
      <c r="H1150" s="51"/>
      <c r="L1150" s="51"/>
      <c r="P1150" s="51"/>
      <c r="T1150" s="51"/>
      <c r="V1150" s="51"/>
      <c r="X1150" s="51"/>
    </row>
    <row r="1151" spans="6:24">
      <c r="F1151" s="51"/>
      <c r="H1151" s="51"/>
      <c r="L1151" s="51"/>
      <c r="P1151" s="51"/>
      <c r="T1151" s="51"/>
      <c r="V1151" s="51"/>
      <c r="X1151" s="51"/>
    </row>
    <row r="1152" spans="6:24">
      <c r="F1152" s="51"/>
      <c r="H1152" s="51"/>
      <c r="L1152" s="51"/>
      <c r="P1152" s="51"/>
      <c r="T1152" s="51"/>
      <c r="V1152" s="51"/>
      <c r="X1152" s="51"/>
    </row>
    <row r="1153" spans="6:24">
      <c r="F1153" s="51"/>
      <c r="H1153" s="51"/>
      <c r="L1153" s="51"/>
      <c r="P1153" s="51"/>
      <c r="T1153" s="51"/>
      <c r="V1153" s="51"/>
      <c r="X1153" s="51"/>
    </row>
    <row r="1154" spans="6:24">
      <c r="F1154" s="51"/>
      <c r="H1154" s="51"/>
      <c r="L1154" s="51"/>
      <c r="P1154" s="51"/>
      <c r="T1154" s="51"/>
      <c r="V1154" s="51"/>
      <c r="X1154" s="51"/>
    </row>
    <row r="1155" spans="6:24">
      <c r="F1155" s="51"/>
      <c r="H1155" s="51"/>
      <c r="L1155" s="51"/>
      <c r="P1155" s="51"/>
      <c r="T1155" s="51"/>
      <c r="V1155" s="51"/>
      <c r="X1155" s="51"/>
    </row>
    <row r="1156" spans="6:24">
      <c r="F1156" s="51"/>
      <c r="H1156" s="51"/>
      <c r="L1156" s="51"/>
      <c r="P1156" s="51"/>
      <c r="T1156" s="51"/>
      <c r="V1156" s="51"/>
      <c r="X1156" s="51"/>
    </row>
    <row r="1157" spans="6:24">
      <c r="F1157" s="51"/>
      <c r="H1157" s="51"/>
      <c r="L1157" s="51"/>
      <c r="P1157" s="51"/>
      <c r="T1157" s="51"/>
      <c r="V1157" s="51"/>
      <c r="X1157" s="51"/>
    </row>
    <row r="1158" spans="6:24">
      <c r="F1158" s="51"/>
      <c r="H1158" s="51"/>
      <c r="L1158" s="51"/>
      <c r="P1158" s="51"/>
      <c r="T1158" s="51"/>
      <c r="V1158" s="51"/>
      <c r="X1158" s="51"/>
    </row>
    <row r="1159" spans="6:24">
      <c r="F1159" s="51"/>
      <c r="H1159" s="51"/>
      <c r="L1159" s="51"/>
      <c r="P1159" s="51"/>
      <c r="T1159" s="51"/>
      <c r="V1159" s="51"/>
      <c r="X1159" s="51"/>
    </row>
    <row r="1160" spans="6:24">
      <c r="F1160" s="51"/>
      <c r="H1160" s="51"/>
      <c r="L1160" s="51"/>
      <c r="P1160" s="51"/>
      <c r="T1160" s="51"/>
      <c r="V1160" s="51"/>
      <c r="X1160" s="51"/>
    </row>
    <row r="1161" spans="6:24">
      <c r="F1161" s="51"/>
      <c r="H1161" s="51"/>
      <c r="L1161" s="51"/>
      <c r="P1161" s="51"/>
      <c r="T1161" s="51"/>
      <c r="V1161" s="51"/>
      <c r="X1161" s="51"/>
    </row>
    <row r="1162" spans="6:24">
      <c r="F1162" s="51"/>
      <c r="H1162" s="51"/>
      <c r="L1162" s="51"/>
      <c r="P1162" s="51"/>
      <c r="T1162" s="51"/>
      <c r="V1162" s="51"/>
      <c r="X1162" s="51"/>
    </row>
    <row r="1163" spans="6:24">
      <c r="F1163" s="51"/>
      <c r="H1163" s="51"/>
      <c r="L1163" s="51"/>
      <c r="P1163" s="51"/>
      <c r="T1163" s="51"/>
      <c r="V1163" s="51"/>
      <c r="X1163" s="51"/>
    </row>
    <row r="1164" spans="6:24">
      <c r="F1164" s="51"/>
      <c r="H1164" s="51"/>
      <c r="L1164" s="51"/>
      <c r="P1164" s="51"/>
      <c r="T1164" s="51"/>
      <c r="V1164" s="51"/>
      <c r="X1164" s="51"/>
    </row>
    <row r="1165" spans="6:24">
      <c r="F1165" s="51"/>
      <c r="H1165" s="51"/>
      <c r="L1165" s="51"/>
      <c r="P1165" s="51"/>
      <c r="T1165" s="51"/>
      <c r="V1165" s="51"/>
      <c r="X1165" s="51"/>
    </row>
    <row r="1166" spans="6:24">
      <c r="F1166" s="51"/>
      <c r="H1166" s="51"/>
      <c r="L1166" s="51"/>
      <c r="P1166" s="51"/>
      <c r="T1166" s="51"/>
      <c r="V1166" s="51"/>
      <c r="X1166" s="51"/>
    </row>
    <row r="1167" spans="6:24">
      <c r="F1167" s="51"/>
      <c r="H1167" s="51"/>
      <c r="L1167" s="51"/>
      <c r="P1167" s="51"/>
      <c r="T1167" s="51"/>
      <c r="V1167" s="51"/>
      <c r="X1167" s="51"/>
    </row>
    <row r="1168" spans="6:24">
      <c r="F1168" s="51"/>
      <c r="H1168" s="51"/>
      <c r="L1168" s="51"/>
      <c r="P1168" s="51"/>
      <c r="T1168" s="51"/>
      <c r="V1168" s="51"/>
      <c r="X1168" s="51"/>
    </row>
    <row r="1169" spans="6:24">
      <c r="F1169" s="51"/>
      <c r="H1169" s="51"/>
      <c r="L1169" s="51"/>
      <c r="P1169" s="51"/>
      <c r="T1169" s="51"/>
      <c r="V1169" s="51"/>
      <c r="X1169" s="51"/>
    </row>
    <row r="1170" spans="6:24">
      <c r="F1170" s="51"/>
      <c r="H1170" s="51"/>
      <c r="L1170" s="51"/>
      <c r="P1170" s="51"/>
      <c r="T1170" s="51"/>
      <c r="V1170" s="51"/>
      <c r="X1170" s="51"/>
    </row>
    <row r="1171" spans="6:24">
      <c r="F1171" s="51"/>
      <c r="H1171" s="51"/>
      <c r="L1171" s="51"/>
      <c r="P1171" s="51"/>
      <c r="T1171" s="51"/>
      <c r="V1171" s="51"/>
      <c r="X1171" s="51"/>
    </row>
    <row r="1172" spans="6:24">
      <c r="F1172" s="51"/>
      <c r="H1172" s="51"/>
      <c r="L1172" s="51"/>
      <c r="P1172" s="51"/>
      <c r="T1172" s="51"/>
      <c r="V1172" s="51"/>
      <c r="X1172" s="51"/>
    </row>
    <row r="1173" spans="6:24">
      <c r="F1173" s="51"/>
      <c r="H1173" s="51"/>
      <c r="L1173" s="51"/>
      <c r="P1173" s="51"/>
      <c r="T1173" s="51"/>
      <c r="V1173" s="51"/>
      <c r="X1173" s="51"/>
    </row>
    <row r="1174" spans="6:24">
      <c r="F1174" s="51"/>
      <c r="H1174" s="51"/>
      <c r="L1174" s="51"/>
      <c r="P1174" s="51"/>
      <c r="T1174" s="51"/>
      <c r="V1174" s="51"/>
      <c r="X1174" s="51"/>
    </row>
    <row r="1175" spans="6:24">
      <c r="F1175" s="51"/>
      <c r="H1175" s="51"/>
      <c r="L1175" s="51"/>
      <c r="P1175" s="51"/>
      <c r="T1175" s="51"/>
      <c r="V1175" s="51"/>
      <c r="X1175" s="51"/>
    </row>
    <row r="1176" spans="6:24">
      <c r="F1176" s="51"/>
      <c r="H1176" s="51"/>
      <c r="L1176" s="51"/>
      <c r="P1176" s="51"/>
      <c r="T1176" s="51"/>
      <c r="V1176" s="51"/>
      <c r="X1176" s="51"/>
    </row>
    <row r="1177" spans="6:24">
      <c r="F1177" s="51"/>
      <c r="H1177" s="51"/>
      <c r="L1177" s="51"/>
      <c r="P1177" s="51"/>
      <c r="T1177" s="51"/>
      <c r="V1177" s="51"/>
      <c r="X1177" s="51"/>
    </row>
    <row r="1178" spans="6:24">
      <c r="F1178" s="51"/>
      <c r="H1178" s="51"/>
      <c r="L1178" s="51"/>
      <c r="P1178" s="51"/>
      <c r="T1178" s="51"/>
      <c r="V1178" s="51"/>
      <c r="X1178" s="51"/>
    </row>
    <row r="1179" spans="6:24">
      <c r="F1179" s="51"/>
      <c r="H1179" s="51"/>
      <c r="L1179" s="51"/>
      <c r="P1179" s="51"/>
      <c r="T1179" s="51"/>
      <c r="V1179" s="51"/>
      <c r="X1179" s="51"/>
    </row>
    <row r="1180" spans="6:24">
      <c r="F1180" s="51"/>
      <c r="H1180" s="51"/>
      <c r="L1180" s="51"/>
      <c r="P1180" s="51"/>
      <c r="T1180" s="51"/>
      <c r="V1180" s="51"/>
      <c r="X1180" s="51"/>
    </row>
    <row r="1181" spans="6:24">
      <c r="F1181" s="51"/>
      <c r="H1181" s="51"/>
      <c r="L1181" s="51"/>
      <c r="P1181" s="51"/>
      <c r="T1181" s="51"/>
      <c r="V1181" s="51"/>
      <c r="X1181" s="51"/>
    </row>
    <row r="1182" spans="6:24">
      <c r="F1182" s="51"/>
      <c r="H1182" s="51"/>
      <c r="L1182" s="51"/>
      <c r="P1182" s="51"/>
      <c r="T1182" s="51"/>
      <c r="V1182" s="51"/>
      <c r="X1182" s="51"/>
    </row>
    <row r="1183" spans="6:24">
      <c r="F1183" s="51"/>
      <c r="H1183" s="51"/>
      <c r="L1183" s="51"/>
      <c r="P1183" s="51"/>
      <c r="T1183" s="51"/>
      <c r="V1183" s="51"/>
      <c r="X1183" s="51"/>
    </row>
    <row r="1184" spans="6:24">
      <c r="F1184" s="51"/>
      <c r="H1184" s="51"/>
      <c r="L1184" s="51"/>
      <c r="P1184" s="51"/>
      <c r="T1184" s="51"/>
      <c r="V1184" s="51"/>
      <c r="X1184" s="51"/>
    </row>
    <row r="1185" spans="6:24">
      <c r="F1185" s="51"/>
      <c r="H1185" s="51"/>
      <c r="L1185" s="51"/>
      <c r="P1185" s="51"/>
      <c r="T1185" s="51"/>
      <c r="V1185" s="51"/>
      <c r="X1185" s="51"/>
    </row>
    <row r="1186" spans="6:24">
      <c r="F1186" s="51"/>
      <c r="H1186" s="51"/>
      <c r="L1186" s="51"/>
      <c r="P1186" s="51"/>
      <c r="T1186" s="51"/>
      <c r="V1186" s="51"/>
      <c r="X1186" s="51"/>
    </row>
    <row r="1187" spans="6:24">
      <c r="F1187" s="51"/>
      <c r="H1187" s="51"/>
      <c r="L1187" s="51"/>
      <c r="P1187" s="51"/>
      <c r="T1187" s="51"/>
      <c r="V1187" s="51"/>
      <c r="X1187" s="51"/>
    </row>
    <row r="1188" spans="6:24">
      <c r="F1188" s="51"/>
      <c r="H1188" s="51"/>
      <c r="L1188" s="51"/>
      <c r="P1188" s="51"/>
      <c r="T1188" s="51"/>
      <c r="V1188" s="51"/>
      <c r="X1188" s="51"/>
    </row>
    <row r="1189" spans="6:24">
      <c r="F1189" s="51"/>
      <c r="H1189" s="51"/>
      <c r="L1189" s="51"/>
      <c r="P1189" s="51"/>
      <c r="T1189" s="51"/>
      <c r="V1189" s="51"/>
      <c r="X1189" s="51"/>
    </row>
    <row r="1190" spans="6:24">
      <c r="F1190" s="51"/>
      <c r="H1190" s="51"/>
      <c r="L1190" s="51"/>
      <c r="P1190" s="51"/>
      <c r="T1190" s="51"/>
      <c r="V1190" s="51"/>
      <c r="X1190" s="51"/>
    </row>
    <row r="1191" spans="6:24">
      <c r="F1191" s="51"/>
      <c r="H1191" s="51"/>
      <c r="L1191" s="51"/>
      <c r="P1191" s="51"/>
      <c r="T1191" s="51"/>
      <c r="V1191" s="51"/>
      <c r="X1191" s="51"/>
    </row>
    <row r="1192" spans="6:24">
      <c r="F1192" s="51"/>
      <c r="H1192" s="51"/>
      <c r="L1192" s="51"/>
      <c r="P1192" s="51"/>
      <c r="T1192" s="51"/>
      <c r="V1192" s="51"/>
      <c r="X1192" s="51"/>
    </row>
    <row r="1193" spans="6:24">
      <c r="F1193" s="51"/>
      <c r="H1193" s="51"/>
      <c r="L1193" s="51"/>
      <c r="P1193" s="51"/>
      <c r="T1193" s="51"/>
      <c r="V1193" s="51"/>
      <c r="X1193" s="51"/>
    </row>
    <row r="1194" spans="6:24">
      <c r="F1194" s="51"/>
      <c r="H1194" s="51"/>
      <c r="L1194" s="51"/>
      <c r="P1194" s="51"/>
      <c r="T1194" s="51"/>
      <c r="V1194" s="51"/>
      <c r="X1194" s="51"/>
    </row>
    <row r="1195" spans="6:24">
      <c r="F1195" s="51"/>
      <c r="H1195" s="51"/>
      <c r="L1195" s="51"/>
      <c r="P1195" s="51"/>
      <c r="T1195" s="51"/>
      <c r="V1195" s="51"/>
      <c r="X1195" s="51"/>
    </row>
    <row r="1196" spans="6:24">
      <c r="F1196" s="51"/>
      <c r="H1196" s="51"/>
      <c r="L1196" s="51"/>
      <c r="P1196" s="51"/>
      <c r="T1196" s="51"/>
      <c r="V1196" s="51"/>
      <c r="X1196" s="51"/>
    </row>
    <row r="1197" spans="6:24">
      <c r="F1197" s="51"/>
      <c r="H1197" s="51"/>
      <c r="L1197" s="51"/>
      <c r="P1197" s="51"/>
      <c r="T1197" s="51"/>
      <c r="V1197" s="51"/>
      <c r="X1197" s="51"/>
    </row>
    <row r="1198" spans="6:24">
      <c r="F1198" s="51"/>
      <c r="H1198" s="51"/>
      <c r="L1198" s="51"/>
      <c r="P1198" s="51"/>
      <c r="T1198" s="51"/>
      <c r="V1198" s="51"/>
      <c r="X1198" s="51"/>
    </row>
    <row r="1199" spans="6:24">
      <c r="F1199" s="51"/>
      <c r="H1199" s="51"/>
      <c r="L1199" s="51"/>
      <c r="P1199" s="51"/>
      <c r="T1199" s="51"/>
      <c r="V1199" s="51"/>
      <c r="X1199" s="51"/>
    </row>
    <row r="1200" spans="6:24">
      <c r="F1200" s="51"/>
      <c r="H1200" s="51"/>
      <c r="L1200" s="51"/>
      <c r="P1200" s="51"/>
      <c r="T1200" s="51"/>
      <c r="V1200" s="51"/>
      <c r="X1200" s="51"/>
    </row>
    <row r="1201" spans="6:24">
      <c r="F1201" s="51"/>
      <c r="H1201" s="51"/>
      <c r="L1201" s="51"/>
      <c r="P1201" s="51"/>
      <c r="T1201" s="51"/>
      <c r="V1201" s="51"/>
      <c r="X1201" s="51"/>
    </row>
    <row r="1202" spans="6:24">
      <c r="F1202" s="51"/>
      <c r="H1202" s="51"/>
      <c r="L1202" s="51"/>
      <c r="P1202" s="51"/>
      <c r="T1202" s="51"/>
      <c r="V1202" s="51"/>
      <c r="X1202" s="51"/>
    </row>
    <row r="1203" spans="6:24">
      <c r="F1203" s="51"/>
      <c r="H1203" s="51"/>
      <c r="L1203" s="51"/>
      <c r="P1203" s="51"/>
      <c r="T1203" s="51"/>
      <c r="V1203" s="51"/>
      <c r="X1203" s="51"/>
    </row>
    <row r="1204" spans="6:24">
      <c r="F1204" s="51"/>
      <c r="H1204" s="51"/>
      <c r="L1204" s="51"/>
      <c r="P1204" s="51"/>
      <c r="T1204" s="51"/>
      <c r="V1204" s="51"/>
      <c r="X1204" s="51"/>
    </row>
    <row r="1205" spans="6:24">
      <c r="F1205" s="51"/>
      <c r="H1205" s="51"/>
      <c r="L1205" s="51"/>
      <c r="P1205" s="51"/>
      <c r="T1205" s="51"/>
      <c r="V1205" s="51"/>
      <c r="X1205" s="51"/>
    </row>
    <row r="1206" spans="6:24">
      <c r="F1206" s="51"/>
      <c r="H1206" s="51"/>
      <c r="L1206" s="51"/>
      <c r="P1206" s="51"/>
      <c r="T1206" s="51"/>
      <c r="V1206" s="51"/>
      <c r="X1206" s="51"/>
    </row>
    <row r="1207" spans="6:24">
      <c r="F1207" s="51"/>
      <c r="H1207" s="51"/>
      <c r="L1207" s="51"/>
      <c r="P1207" s="51"/>
      <c r="T1207" s="51"/>
      <c r="V1207" s="51"/>
      <c r="X1207" s="51"/>
    </row>
    <row r="1208" spans="6:24">
      <c r="F1208" s="51"/>
      <c r="H1208" s="51"/>
      <c r="L1208" s="51"/>
      <c r="P1208" s="51"/>
      <c r="T1208" s="51"/>
      <c r="V1208" s="51"/>
      <c r="X1208" s="51"/>
    </row>
    <row r="1209" spans="6:24">
      <c r="F1209" s="51"/>
      <c r="H1209" s="51"/>
      <c r="L1209" s="51"/>
      <c r="P1209" s="51"/>
      <c r="T1209" s="51"/>
      <c r="V1209" s="51"/>
      <c r="X1209" s="51"/>
    </row>
    <row r="1210" spans="6:24">
      <c r="F1210" s="51"/>
      <c r="H1210" s="51"/>
      <c r="L1210" s="51"/>
      <c r="P1210" s="51"/>
      <c r="T1210" s="51"/>
      <c r="V1210" s="51"/>
      <c r="X1210" s="51"/>
    </row>
    <row r="1211" spans="6:24">
      <c r="F1211" s="51"/>
      <c r="H1211" s="51"/>
      <c r="L1211" s="51"/>
      <c r="P1211" s="51"/>
      <c r="T1211" s="51"/>
      <c r="V1211" s="51"/>
      <c r="X1211" s="51"/>
    </row>
    <row r="1212" spans="6:24">
      <c r="F1212" s="51"/>
      <c r="H1212" s="51"/>
      <c r="L1212" s="51"/>
      <c r="P1212" s="51"/>
      <c r="T1212" s="51"/>
      <c r="V1212" s="51"/>
      <c r="X1212" s="51"/>
    </row>
    <row r="1213" spans="6:24">
      <c r="F1213" s="51"/>
      <c r="H1213" s="51"/>
      <c r="L1213" s="51"/>
      <c r="P1213" s="51"/>
      <c r="T1213" s="51"/>
      <c r="V1213" s="51"/>
      <c r="X1213" s="51"/>
    </row>
    <row r="1214" spans="6:24">
      <c r="F1214" s="51"/>
      <c r="H1214" s="51"/>
      <c r="L1214" s="51"/>
      <c r="P1214" s="51"/>
      <c r="T1214" s="51"/>
      <c r="V1214" s="51"/>
      <c r="X1214" s="51"/>
    </row>
    <row r="1215" spans="6:24">
      <c r="F1215" s="51"/>
      <c r="H1215" s="51"/>
      <c r="L1215" s="51"/>
      <c r="P1215" s="51"/>
      <c r="T1215" s="51"/>
      <c r="V1215" s="51"/>
      <c r="X1215" s="51"/>
    </row>
    <row r="1216" spans="6:24">
      <c r="F1216" s="51"/>
      <c r="H1216" s="51"/>
      <c r="L1216" s="51"/>
      <c r="P1216" s="51"/>
      <c r="T1216" s="51"/>
      <c r="V1216" s="51"/>
      <c r="X1216" s="51"/>
    </row>
    <row r="1217" spans="6:24">
      <c r="F1217" s="51"/>
      <c r="H1217" s="51"/>
      <c r="L1217" s="51"/>
      <c r="P1217" s="51"/>
      <c r="T1217" s="51"/>
      <c r="V1217" s="51"/>
      <c r="X1217" s="51"/>
    </row>
    <row r="1218" spans="6:24">
      <c r="F1218" s="51"/>
      <c r="H1218" s="51"/>
      <c r="L1218" s="51"/>
      <c r="P1218" s="51"/>
      <c r="T1218" s="51"/>
      <c r="V1218" s="51"/>
      <c r="X1218" s="51"/>
    </row>
    <row r="1219" spans="6:24">
      <c r="F1219" s="51"/>
      <c r="H1219" s="51"/>
      <c r="L1219" s="51"/>
      <c r="P1219" s="51"/>
      <c r="T1219" s="51"/>
      <c r="V1219" s="51"/>
      <c r="X1219" s="51"/>
    </row>
    <row r="1220" spans="6:24">
      <c r="F1220" s="51"/>
      <c r="H1220" s="51"/>
      <c r="L1220" s="51"/>
      <c r="P1220" s="51"/>
      <c r="T1220" s="51"/>
      <c r="V1220" s="51"/>
      <c r="X1220" s="51"/>
    </row>
    <row r="1221" spans="6:24">
      <c r="F1221" s="51"/>
      <c r="H1221" s="51"/>
      <c r="L1221" s="51"/>
      <c r="P1221" s="51"/>
      <c r="T1221" s="51"/>
      <c r="V1221" s="51"/>
      <c r="X1221" s="51"/>
    </row>
    <row r="1222" spans="6:24">
      <c r="F1222" s="51"/>
      <c r="H1222" s="51"/>
      <c r="L1222" s="51"/>
      <c r="P1222" s="51"/>
      <c r="T1222" s="51"/>
      <c r="V1222" s="51"/>
      <c r="X1222" s="51"/>
    </row>
    <row r="1223" spans="6:24">
      <c r="F1223" s="51"/>
      <c r="H1223" s="51"/>
      <c r="L1223" s="51"/>
      <c r="P1223" s="51"/>
      <c r="T1223" s="51"/>
      <c r="V1223" s="51"/>
      <c r="X1223" s="51"/>
    </row>
    <row r="1224" spans="6:24">
      <c r="F1224" s="51"/>
      <c r="H1224" s="51"/>
      <c r="L1224" s="51"/>
      <c r="P1224" s="51"/>
      <c r="T1224" s="51"/>
      <c r="V1224" s="51"/>
      <c r="X1224" s="51"/>
    </row>
    <row r="1225" spans="6:24">
      <c r="F1225" s="51"/>
      <c r="H1225" s="51"/>
      <c r="L1225" s="51"/>
      <c r="P1225" s="51"/>
      <c r="T1225" s="51"/>
      <c r="V1225" s="51"/>
      <c r="X1225" s="51"/>
    </row>
    <row r="1226" spans="6:24">
      <c r="F1226" s="51"/>
      <c r="H1226" s="51"/>
      <c r="L1226" s="51"/>
      <c r="P1226" s="51"/>
      <c r="T1226" s="51"/>
      <c r="V1226" s="51"/>
      <c r="X1226" s="51"/>
    </row>
    <row r="1227" spans="6:24">
      <c r="F1227" s="51"/>
      <c r="H1227" s="51"/>
      <c r="L1227" s="51"/>
      <c r="P1227" s="51"/>
      <c r="T1227" s="51"/>
      <c r="V1227" s="51"/>
      <c r="X1227" s="51"/>
    </row>
    <row r="1228" spans="6:24">
      <c r="F1228" s="51"/>
      <c r="H1228" s="51"/>
      <c r="L1228" s="51"/>
      <c r="P1228" s="51"/>
      <c r="T1228" s="51"/>
      <c r="V1228" s="51"/>
      <c r="X1228" s="51"/>
    </row>
    <row r="1229" spans="6:24">
      <c r="F1229" s="51"/>
      <c r="H1229" s="51"/>
      <c r="L1229" s="51"/>
      <c r="P1229" s="51"/>
      <c r="T1229" s="51"/>
      <c r="V1229" s="51"/>
      <c r="X1229" s="51"/>
    </row>
    <row r="1230" spans="6:24">
      <c r="F1230" s="51"/>
      <c r="H1230" s="51"/>
      <c r="L1230" s="51"/>
      <c r="P1230" s="51"/>
      <c r="T1230" s="51"/>
      <c r="V1230" s="51"/>
      <c r="X1230" s="51"/>
    </row>
    <row r="1231" spans="6:24">
      <c r="F1231" s="51"/>
      <c r="H1231" s="51"/>
      <c r="L1231" s="51"/>
      <c r="P1231" s="51"/>
      <c r="T1231" s="51"/>
      <c r="V1231" s="51"/>
      <c r="X1231" s="51"/>
    </row>
    <row r="1232" spans="6:24">
      <c r="F1232" s="51"/>
      <c r="H1232" s="51"/>
      <c r="L1232" s="51"/>
      <c r="P1232" s="51"/>
      <c r="T1232" s="51"/>
      <c r="V1232" s="51"/>
      <c r="X1232" s="51"/>
    </row>
    <row r="1233" spans="6:24">
      <c r="F1233" s="51"/>
      <c r="H1233" s="51"/>
      <c r="L1233" s="51"/>
      <c r="P1233" s="51"/>
      <c r="T1233" s="51"/>
      <c r="V1233" s="51"/>
      <c r="X1233" s="51"/>
    </row>
    <row r="1234" spans="6:24">
      <c r="F1234" s="51"/>
      <c r="H1234" s="51"/>
      <c r="L1234" s="51"/>
      <c r="P1234" s="51"/>
      <c r="T1234" s="51"/>
      <c r="V1234" s="51"/>
      <c r="X1234" s="51"/>
    </row>
    <row r="1235" spans="6:24">
      <c r="F1235" s="51"/>
      <c r="H1235" s="51"/>
      <c r="L1235" s="51"/>
      <c r="P1235" s="51"/>
      <c r="T1235" s="51"/>
      <c r="V1235" s="51"/>
      <c r="X1235" s="51"/>
    </row>
    <row r="1236" spans="6:24">
      <c r="F1236" s="51"/>
      <c r="H1236" s="51"/>
      <c r="L1236" s="51"/>
      <c r="P1236" s="51"/>
      <c r="T1236" s="51"/>
      <c r="V1236" s="51"/>
      <c r="X1236" s="51"/>
    </row>
    <row r="1237" spans="6:24">
      <c r="F1237" s="51"/>
      <c r="H1237" s="51"/>
      <c r="L1237" s="51"/>
      <c r="P1237" s="51"/>
      <c r="T1237" s="51"/>
      <c r="V1237" s="51"/>
      <c r="X1237" s="51"/>
    </row>
    <row r="1238" spans="6:24">
      <c r="F1238" s="51"/>
      <c r="H1238" s="51"/>
      <c r="L1238" s="51"/>
      <c r="P1238" s="51"/>
      <c r="T1238" s="51"/>
      <c r="V1238" s="51"/>
      <c r="X1238" s="51"/>
    </row>
    <row r="1239" spans="6:24">
      <c r="F1239" s="51"/>
      <c r="H1239" s="51"/>
      <c r="L1239" s="51"/>
      <c r="P1239" s="51"/>
      <c r="T1239" s="51"/>
      <c r="V1239" s="51"/>
      <c r="X1239" s="51"/>
    </row>
    <row r="1240" spans="6:24">
      <c r="F1240" s="51"/>
      <c r="H1240" s="51"/>
      <c r="L1240" s="51"/>
      <c r="P1240" s="51"/>
      <c r="T1240" s="51"/>
      <c r="V1240" s="51"/>
      <c r="X1240" s="51"/>
    </row>
    <row r="1241" spans="6:24">
      <c r="F1241" s="51"/>
      <c r="H1241" s="51"/>
      <c r="L1241" s="51"/>
      <c r="P1241" s="51"/>
      <c r="T1241" s="51"/>
      <c r="V1241" s="51"/>
      <c r="X1241" s="51"/>
    </row>
    <row r="1242" spans="6:24">
      <c r="F1242" s="51"/>
      <c r="H1242" s="51"/>
      <c r="L1242" s="51"/>
      <c r="P1242" s="51"/>
      <c r="T1242" s="51"/>
      <c r="V1242" s="51"/>
      <c r="X1242" s="51"/>
    </row>
    <row r="1243" spans="6:24">
      <c r="F1243" s="51"/>
      <c r="H1243" s="51"/>
      <c r="L1243" s="51"/>
      <c r="P1243" s="51"/>
      <c r="T1243" s="51"/>
      <c r="V1243" s="51"/>
      <c r="X1243" s="51"/>
    </row>
    <row r="1244" spans="6:24">
      <c r="F1244" s="51"/>
      <c r="H1244" s="51"/>
      <c r="L1244" s="51"/>
      <c r="P1244" s="51"/>
      <c r="T1244" s="51"/>
      <c r="V1244" s="51"/>
      <c r="X1244" s="51"/>
    </row>
    <row r="1245" spans="6:24">
      <c r="F1245" s="51"/>
      <c r="H1245" s="51"/>
      <c r="L1245" s="51"/>
      <c r="P1245" s="51"/>
      <c r="T1245" s="51"/>
      <c r="V1245" s="51"/>
      <c r="X1245" s="51"/>
    </row>
    <row r="1246" spans="6:24">
      <c r="F1246" s="51"/>
      <c r="H1246" s="51"/>
      <c r="L1246" s="51"/>
      <c r="P1246" s="51"/>
      <c r="T1246" s="51"/>
      <c r="V1246" s="51"/>
      <c r="X1246" s="51"/>
    </row>
    <row r="1247" spans="6:24">
      <c r="F1247" s="51"/>
      <c r="H1247" s="51"/>
      <c r="L1247" s="51"/>
      <c r="P1247" s="51"/>
      <c r="T1247" s="51"/>
      <c r="V1247" s="51"/>
      <c r="X1247" s="51"/>
    </row>
    <row r="1248" spans="6:24">
      <c r="F1248" s="51"/>
      <c r="H1248" s="51"/>
      <c r="L1248" s="51"/>
      <c r="P1248" s="51"/>
      <c r="T1248" s="51"/>
      <c r="V1248" s="51"/>
      <c r="X1248" s="51"/>
    </row>
    <row r="1249" spans="6:24">
      <c r="F1249" s="51"/>
      <c r="H1249" s="51"/>
      <c r="L1249" s="51"/>
      <c r="P1249" s="51"/>
      <c r="T1249" s="51"/>
      <c r="V1249" s="51"/>
      <c r="X1249" s="51"/>
    </row>
    <row r="1250" spans="6:24">
      <c r="F1250" s="51"/>
      <c r="H1250" s="51"/>
      <c r="L1250" s="51"/>
      <c r="P1250" s="51"/>
      <c r="T1250" s="51"/>
      <c r="V1250" s="51"/>
      <c r="X1250" s="51"/>
    </row>
    <row r="1251" spans="6:24">
      <c r="F1251" s="51"/>
      <c r="H1251" s="51"/>
      <c r="L1251" s="51"/>
      <c r="P1251" s="51"/>
      <c r="T1251" s="51"/>
      <c r="V1251" s="51"/>
      <c r="X1251" s="51"/>
    </row>
    <row r="1252" spans="6:24">
      <c r="F1252" s="51"/>
      <c r="H1252" s="51"/>
      <c r="L1252" s="51"/>
      <c r="P1252" s="51"/>
      <c r="T1252" s="51"/>
      <c r="V1252" s="51"/>
      <c r="X1252" s="51"/>
    </row>
    <row r="1253" spans="6:24">
      <c r="F1253" s="51"/>
      <c r="H1253" s="51"/>
      <c r="L1253" s="51"/>
      <c r="P1253" s="51"/>
      <c r="T1253" s="51"/>
      <c r="V1253" s="51"/>
      <c r="X1253" s="51"/>
    </row>
    <row r="1254" spans="6:24">
      <c r="F1254" s="51"/>
      <c r="H1254" s="51"/>
      <c r="L1254" s="51"/>
      <c r="P1254" s="51"/>
      <c r="T1254" s="51"/>
      <c r="V1254" s="51"/>
      <c r="X1254" s="51"/>
    </row>
    <row r="1255" spans="6:24">
      <c r="F1255" s="51"/>
      <c r="H1255" s="51"/>
      <c r="L1255" s="51"/>
      <c r="P1255" s="51"/>
      <c r="T1255" s="51"/>
      <c r="V1255" s="51"/>
      <c r="X1255" s="51"/>
    </row>
    <row r="1256" spans="6:24">
      <c r="F1256" s="51"/>
      <c r="H1256" s="51"/>
      <c r="L1256" s="51"/>
      <c r="P1256" s="51"/>
      <c r="T1256" s="51"/>
      <c r="V1256" s="51"/>
      <c r="X1256" s="51"/>
    </row>
    <row r="1257" spans="6:24">
      <c r="F1257" s="51"/>
      <c r="H1257" s="51"/>
      <c r="L1257" s="51"/>
      <c r="P1257" s="51"/>
      <c r="T1257" s="51"/>
      <c r="V1257" s="51"/>
      <c r="X1257" s="51"/>
    </row>
    <row r="1258" spans="6:24">
      <c r="F1258" s="51"/>
      <c r="H1258" s="51"/>
      <c r="L1258" s="51"/>
      <c r="P1258" s="51"/>
      <c r="T1258" s="51"/>
      <c r="V1258" s="51"/>
      <c r="X1258" s="51"/>
    </row>
    <row r="1259" spans="6:24">
      <c r="F1259" s="51"/>
      <c r="H1259" s="51"/>
      <c r="L1259" s="51"/>
      <c r="P1259" s="51"/>
      <c r="T1259" s="51"/>
      <c r="V1259" s="51"/>
      <c r="X1259" s="51"/>
    </row>
    <row r="1260" spans="6:24">
      <c r="F1260" s="51"/>
      <c r="H1260" s="51"/>
      <c r="L1260" s="51"/>
      <c r="P1260" s="51"/>
      <c r="T1260" s="51"/>
      <c r="V1260" s="51"/>
      <c r="X1260" s="51"/>
    </row>
    <row r="1261" spans="6:24">
      <c r="F1261" s="51"/>
      <c r="H1261" s="51"/>
      <c r="L1261" s="51"/>
      <c r="P1261" s="51"/>
      <c r="T1261" s="51"/>
      <c r="V1261" s="51"/>
      <c r="X1261" s="51"/>
    </row>
    <row r="1262" spans="6:24">
      <c r="F1262" s="51"/>
      <c r="H1262" s="51"/>
      <c r="L1262" s="51"/>
      <c r="P1262" s="51"/>
      <c r="T1262" s="51"/>
      <c r="V1262" s="51"/>
      <c r="X1262" s="51"/>
    </row>
    <row r="1263" spans="6:24">
      <c r="F1263" s="51"/>
      <c r="H1263" s="51"/>
      <c r="L1263" s="51"/>
      <c r="P1263" s="51"/>
      <c r="T1263" s="51"/>
      <c r="V1263" s="51"/>
      <c r="X1263" s="51"/>
    </row>
    <row r="1264" spans="6:24">
      <c r="F1264" s="51"/>
      <c r="H1264" s="51"/>
      <c r="L1264" s="51"/>
      <c r="P1264" s="51"/>
      <c r="T1264" s="51"/>
      <c r="V1264" s="51"/>
      <c r="X1264" s="51"/>
    </row>
    <row r="1265" spans="6:24">
      <c r="F1265" s="51"/>
      <c r="H1265" s="51"/>
      <c r="L1265" s="51"/>
      <c r="P1265" s="51"/>
      <c r="T1265" s="51"/>
      <c r="V1265" s="51"/>
      <c r="X1265" s="51"/>
    </row>
    <row r="1266" spans="6:24">
      <c r="F1266" s="51"/>
      <c r="H1266" s="51"/>
      <c r="L1266" s="51"/>
      <c r="P1266" s="51"/>
      <c r="T1266" s="51"/>
      <c r="V1266" s="51"/>
      <c r="X1266" s="51"/>
    </row>
    <row r="1267" spans="6:24">
      <c r="F1267" s="51"/>
      <c r="H1267" s="51"/>
      <c r="L1267" s="51"/>
      <c r="P1267" s="51"/>
      <c r="T1267" s="51"/>
      <c r="V1267" s="51"/>
      <c r="X1267" s="51"/>
    </row>
    <row r="1268" spans="6:24">
      <c r="F1268" s="51"/>
      <c r="H1268" s="51"/>
      <c r="L1268" s="51"/>
      <c r="P1268" s="51"/>
      <c r="T1268" s="51"/>
      <c r="V1268" s="51"/>
      <c r="X1268" s="51"/>
    </row>
    <row r="1269" spans="6:24">
      <c r="F1269" s="51"/>
      <c r="H1269" s="51"/>
      <c r="L1269" s="51"/>
      <c r="P1269" s="51"/>
      <c r="T1269" s="51"/>
      <c r="V1269" s="51"/>
      <c r="X1269" s="51"/>
    </row>
    <row r="1270" spans="6:24">
      <c r="F1270" s="51"/>
      <c r="H1270" s="51"/>
      <c r="L1270" s="51"/>
      <c r="P1270" s="51"/>
      <c r="T1270" s="51"/>
      <c r="V1270" s="51"/>
      <c r="X1270" s="51"/>
    </row>
    <row r="1271" spans="6:24">
      <c r="F1271" s="51"/>
      <c r="H1271" s="51"/>
      <c r="L1271" s="51"/>
      <c r="P1271" s="51"/>
      <c r="T1271" s="51"/>
      <c r="V1271" s="51"/>
      <c r="X1271" s="51"/>
    </row>
    <row r="1272" spans="6:24">
      <c r="F1272" s="51"/>
      <c r="H1272" s="51"/>
      <c r="L1272" s="51"/>
      <c r="P1272" s="51"/>
      <c r="T1272" s="51"/>
      <c r="V1272" s="51"/>
      <c r="X1272" s="51"/>
    </row>
    <row r="1273" spans="6:24">
      <c r="F1273" s="51"/>
      <c r="H1273" s="51"/>
      <c r="L1273" s="51"/>
      <c r="P1273" s="51"/>
      <c r="T1273" s="51"/>
      <c r="V1273" s="51"/>
      <c r="X1273" s="51"/>
    </row>
    <row r="1274" spans="6:24">
      <c r="F1274" s="51"/>
      <c r="H1274" s="51"/>
      <c r="L1274" s="51"/>
      <c r="P1274" s="51"/>
      <c r="T1274" s="51"/>
      <c r="V1274" s="51"/>
      <c r="X1274" s="51"/>
    </row>
    <row r="1275" spans="6:24">
      <c r="F1275" s="51"/>
      <c r="H1275" s="51"/>
      <c r="L1275" s="51"/>
      <c r="P1275" s="51"/>
      <c r="T1275" s="51"/>
      <c r="V1275" s="51"/>
      <c r="X1275" s="51"/>
    </row>
    <row r="1276" spans="6:24">
      <c r="F1276" s="51"/>
      <c r="H1276" s="51"/>
      <c r="L1276" s="51"/>
      <c r="P1276" s="51"/>
      <c r="T1276" s="51"/>
      <c r="V1276" s="51"/>
      <c r="X1276" s="51"/>
    </row>
    <row r="1277" spans="6:24">
      <c r="F1277" s="51"/>
      <c r="H1277" s="51"/>
      <c r="L1277" s="51"/>
      <c r="P1277" s="51"/>
      <c r="T1277" s="51"/>
      <c r="V1277" s="51"/>
      <c r="X1277" s="51"/>
    </row>
    <row r="1278" spans="6:24">
      <c r="F1278" s="51"/>
      <c r="H1278" s="51"/>
      <c r="L1278" s="51"/>
      <c r="P1278" s="51"/>
      <c r="T1278" s="51"/>
      <c r="V1278" s="51"/>
      <c r="X1278" s="51"/>
    </row>
    <row r="1279" spans="6:24">
      <c r="F1279" s="51"/>
      <c r="H1279" s="51"/>
      <c r="L1279" s="51"/>
      <c r="P1279" s="51"/>
      <c r="T1279" s="51"/>
      <c r="V1279" s="51"/>
      <c r="X1279" s="51"/>
    </row>
    <row r="1280" spans="6:24">
      <c r="F1280" s="51"/>
      <c r="H1280" s="51"/>
      <c r="L1280" s="51"/>
      <c r="P1280" s="51"/>
      <c r="T1280" s="51"/>
      <c r="V1280" s="51"/>
      <c r="X1280" s="51"/>
    </row>
    <row r="1281" spans="6:24">
      <c r="F1281" s="51"/>
      <c r="H1281" s="51"/>
      <c r="L1281" s="51"/>
      <c r="P1281" s="51"/>
      <c r="T1281" s="51"/>
      <c r="V1281" s="51"/>
      <c r="X1281" s="51"/>
    </row>
    <row r="1282" spans="6:24">
      <c r="F1282" s="51"/>
      <c r="H1282" s="51"/>
      <c r="L1282" s="51"/>
      <c r="P1282" s="51"/>
      <c r="T1282" s="51"/>
      <c r="V1282" s="51"/>
      <c r="X1282" s="51"/>
    </row>
    <row r="1283" spans="6:24">
      <c r="F1283" s="51"/>
      <c r="H1283" s="51"/>
      <c r="L1283" s="51"/>
      <c r="P1283" s="51"/>
      <c r="T1283" s="51"/>
      <c r="V1283" s="51"/>
      <c r="X1283" s="51"/>
    </row>
    <row r="1284" spans="6:24">
      <c r="F1284" s="51"/>
      <c r="H1284" s="51"/>
      <c r="L1284" s="51"/>
      <c r="P1284" s="51"/>
      <c r="T1284" s="51"/>
      <c r="V1284" s="51"/>
      <c r="X1284" s="51"/>
    </row>
    <row r="1285" spans="6:24">
      <c r="F1285" s="51"/>
      <c r="H1285" s="51"/>
      <c r="L1285" s="51"/>
      <c r="P1285" s="51"/>
      <c r="T1285" s="51"/>
      <c r="V1285" s="51"/>
      <c r="X1285" s="51"/>
    </row>
    <row r="1286" spans="6:24">
      <c r="F1286" s="51"/>
      <c r="H1286" s="51"/>
      <c r="L1286" s="51"/>
      <c r="P1286" s="51"/>
      <c r="T1286" s="51"/>
      <c r="V1286" s="51"/>
      <c r="X1286" s="51"/>
    </row>
    <row r="1287" spans="6:24">
      <c r="F1287" s="51"/>
      <c r="H1287" s="51"/>
      <c r="L1287" s="51"/>
      <c r="P1287" s="51"/>
      <c r="T1287" s="51"/>
      <c r="V1287" s="51"/>
      <c r="X1287" s="51"/>
    </row>
    <row r="1288" spans="6:24">
      <c r="F1288" s="51"/>
      <c r="H1288" s="51"/>
      <c r="L1288" s="51"/>
      <c r="P1288" s="51"/>
      <c r="T1288" s="51"/>
      <c r="V1288" s="51"/>
      <c r="X1288" s="51"/>
    </row>
    <row r="1289" spans="6:24">
      <c r="F1289" s="51"/>
      <c r="H1289" s="51"/>
      <c r="L1289" s="51"/>
      <c r="P1289" s="51"/>
      <c r="T1289" s="51"/>
      <c r="V1289" s="51"/>
      <c r="X1289" s="51"/>
    </row>
    <row r="1290" spans="6:24">
      <c r="F1290" s="51"/>
      <c r="H1290" s="51"/>
      <c r="L1290" s="51"/>
      <c r="P1290" s="51"/>
      <c r="T1290" s="51"/>
      <c r="V1290" s="51"/>
      <c r="X1290" s="51"/>
    </row>
    <row r="1291" spans="6:24">
      <c r="F1291" s="51"/>
      <c r="H1291" s="51"/>
      <c r="L1291" s="51"/>
      <c r="P1291" s="51"/>
      <c r="T1291" s="51"/>
      <c r="V1291" s="51"/>
      <c r="X1291" s="51"/>
    </row>
    <row r="1292" spans="6:24">
      <c r="F1292" s="51"/>
      <c r="H1292" s="51"/>
      <c r="L1292" s="51"/>
      <c r="P1292" s="51"/>
      <c r="T1292" s="51"/>
      <c r="V1292" s="51"/>
      <c r="X1292" s="51"/>
    </row>
    <row r="1293" spans="6:24">
      <c r="F1293" s="51"/>
      <c r="H1293" s="51"/>
      <c r="L1293" s="51"/>
      <c r="P1293" s="51"/>
      <c r="T1293" s="51"/>
      <c r="V1293" s="51"/>
      <c r="X1293" s="51"/>
    </row>
    <row r="1294" spans="6:24">
      <c r="F1294" s="51"/>
      <c r="H1294" s="51"/>
      <c r="L1294" s="51"/>
      <c r="P1294" s="51"/>
      <c r="T1294" s="51"/>
      <c r="V1294" s="51"/>
      <c r="X1294" s="51"/>
    </row>
    <row r="1295" spans="6:24">
      <c r="F1295" s="51"/>
      <c r="H1295" s="51"/>
      <c r="L1295" s="51"/>
      <c r="P1295" s="51"/>
      <c r="T1295" s="51"/>
      <c r="V1295" s="51"/>
      <c r="X1295" s="51"/>
    </row>
    <row r="1296" spans="6:24">
      <c r="F1296" s="51"/>
      <c r="H1296" s="51"/>
      <c r="L1296" s="51"/>
      <c r="P1296" s="51"/>
      <c r="T1296" s="51"/>
      <c r="V1296" s="51"/>
      <c r="X1296" s="51"/>
    </row>
    <row r="1297" spans="6:24">
      <c r="F1297" s="51"/>
      <c r="H1297" s="51"/>
      <c r="L1297" s="51"/>
      <c r="P1297" s="51"/>
      <c r="T1297" s="51"/>
      <c r="V1297" s="51"/>
      <c r="X1297" s="51"/>
    </row>
    <row r="1298" spans="6:24">
      <c r="F1298" s="51"/>
      <c r="H1298" s="51"/>
      <c r="L1298" s="51"/>
      <c r="P1298" s="51"/>
      <c r="T1298" s="51"/>
      <c r="V1298" s="51"/>
      <c r="X1298" s="51"/>
    </row>
    <row r="1299" spans="6:24">
      <c r="F1299" s="51"/>
      <c r="H1299" s="51"/>
      <c r="L1299" s="51"/>
      <c r="P1299" s="51"/>
      <c r="T1299" s="51"/>
      <c r="V1299" s="51"/>
      <c r="X1299" s="51"/>
    </row>
    <row r="1300" spans="6:24">
      <c r="F1300" s="51"/>
      <c r="H1300" s="51"/>
      <c r="L1300" s="51"/>
      <c r="P1300" s="51"/>
      <c r="T1300" s="51"/>
      <c r="V1300" s="51"/>
      <c r="X1300" s="51"/>
    </row>
    <row r="1301" spans="6:24">
      <c r="F1301" s="51"/>
      <c r="H1301" s="51"/>
      <c r="L1301" s="51"/>
      <c r="P1301" s="51"/>
      <c r="T1301" s="51"/>
      <c r="V1301" s="51"/>
      <c r="X1301" s="51"/>
    </row>
    <row r="1302" spans="6:24">
      <c r="F1302" s="51"/>
      <c r="H1302" s="51"/>
      <c r="L1302" s="51"/>
      <c r="P1302" s="51"/>
      <c r="T1302" s="51"/>
      <c r="V1302" s="51"/>
      <c r="X1302" s="51"/>
    </row>
    <row r="1303" spans="6:24">
      <c r="F1303" s="51"/>
      <c r="H1303" s="51"/>
      <c r="L1303" s="51"/>
      <c r="P1303" s="51"/>
      <c r="T1303" s="51"/>
      <c r="V1303" s="51"/>
      <c r="X1303" s="51"/>
    </row>
    <row r="1304" spans="6:24">
      <c r="F1304" s="51"/>
      <c r="H1304" s="51"/>
      <c r="L1304" s="51"/>
      <c r="P1304" s="51"/>
      <c r="T1304" s="51"/>
      <c r="V1304" s="51"/>
      <c r="X1304" s="51"/>
    </row>
    <row r="1305" spans="6:24">
      <c r="F1305" s="51"/>
      <c r="H1305" s="51"/>
      <c r="L1305" s="51"/>
      <c r="P1305" s="51"/>
      <c r="T1305" s="51"/>
      <c r="V1305" s="51"/>
      <c r="X1305" s="51"/>
    </row>
    <row r="1306" spans="6:24">
      <c r="F1306" s="51"/>
      <c r="H1306" s="51"/>
      <c r="L1306" s="51"/>
      <c r="P1306" s="51"/>
      <c r="T1306" s="51"/>
      <c r="V1306" s="51"/>
      <c r="X1306" s="51"/>
    </row>
    <row r="1307" spans="6:24">
      <c r="F1307" s="51"/>
      <c r="H1307" s="51"/>
      <c r="L1307" s="51"/>
      <c r="P1307" s="51"/>
      <c r="T1307" s="51"/>
      <c r="V1307" s="51"/>
      <c r="X1307" s="51"/>
    </row>
    <row r="1308" spans="6:24">
      <c r="F1308" s="51"/>
      <c r="H1308" s="51"/>
      <c r="L1308" s="51"/>
      <c r="P1308" s="51"/>
      <c r="T1308" s="51"/>
      <c r="V1308" s="51"/>
      <c r="X1308" s="51"/>
    </row>
    <row r="1309" spans="6:24">
      <c r="F1309" s="51"/>
      <c r="H1309" s="51"/>
      <c r="L1309" s="51"/>
      <c r="P1309" s="51"/>
      <c r="T1309" s="51"/>
      <c r="V1309" s="51"/>
      <c r="X1309" s="51"/>
    </row>
    <row r="1310" spans="6:24">
      <c r="F1310" s="51"/>
      <c r="H1310" s="51"/>
      <c r="L1310" s="51"/>
      <c r="P1310" s="51"/>
      <c r="T1310" s="51"/>
      <c r="V1310" s="51"/>
      <c r="X1310" s="51"/>
    </row>
    <row r="1311" spans="6:24">
      <c r="F1311" s="51"/>
      <c r="H1311" s="51"/>
      <c r="L1311" s="51"/>
      <c r="P1311" s="51"/>
      <c r="T1311" s="51"/>
      <c r="V1311" s="51"/>
      <c r="X1311" s="51"/>
    </row>
    <row r="1312" spans="6:24">
      <c r="F1312" s="51"/>
      <c r="H1312" s="51"/>
      <c r="L1312" s="51"/>
      <c r="P1312" s="51"/>
      <c r="T1312" s="51"/>
      <c r="V1312" s="51"/>
      <c r="X1312" s="51"/>
    </row>
    <row r="1313" spans="6:24">
      <c r="F1313" s="51"/>
      <c r="H1313" s="51"/>
      <c r="L1313" s="51"/>
      <c r="P1313" s="51"/>
      <c r="T1313" s="51"/>
      <c r="V1313" s="51"/>
      <c r="X1313" s="51"/>
    </row>
    <row r="1314" spans="6:24">
      <c r="F1314" s="51"/>
      <c r="H1314" s="51"/>
      <c r="L1314" s="51"/>
      <c r="P1314" s="51"/>
      <c r="T1314" s="51"/>
      <c r="V1314" s="51"/>
      <c r="X1314" s="51"/>
    </row>
    <row r="1315" spans="6:24">
      <c r="F1315" s="51"/>
      <c r="H1315" s="51"/>
      <c r="L1315" s="51"/>
      <c r="P1315" s="51"/>
      <c r="T1315" s="51"/>
      <c r="V1315" s="51"/>
      <c r="X1315" s="51"/>
    </row>
    <row r="1316" spans="6:24">
      <c r="F1316" s="51"/>
      <c r="H1316" s="51"/>
      <c r="L1316" s="51"/>
      <c r="P1316" s="51"/>
      <c r="T1316" s="51"/>
      <c r="V1316" s="51"/>
      <c r="X1316" s="51"/>
    </row>
    <row r="1317" spans="6:24">
      <c r="F1317" s="51"/>
      <c r="H1317" s="51"/>
      <c r="L1317" s="51"/>
      <c r="P1317" s="51"/>
      <c r="T1317" s="51"/>
      <c r="V1317" s="51"/>
      <c r="X1317" s="51"/>
    </row>
    <row r="1318" spans="6:24">
      <c r="F1318" s="51"/>
      <c r="H1318" s="51"/>
      <c r="L1318" s="51"/>
      <c r="P1318" s="51"/>
      <c r="T1318" s="51"/>
      <c r="V1318" s="51"/>
      <c r="X1318" s="51"/>
    </row>
    <row r="1319" spans="6:24">
      <c r="F1319" s="51"/>
      <c r="H1319" s="51"/>
      <c r="L1319" s="51"/>
      <c r="P1319" s="51"/>
      <c r="T1319" s="51"/>
      <c r="V1319" s="51"/>
      <c r="X1319" s="51"/>
    </row>
    <row r="1320" spans="6:24">
      <c r="F1320" s="51"/>
      <c r="H1320" s="51"/>
      <c r="L1320" s="51"/>
      <c r="P1320" s="51"/>
      <c r="T1320" s="51"/>
      <c r="V1320" s="51"/>
      <c r="X1320" s="51"/>
    </row>
    <row r="1321" spans="6:24">
      <c r="F1321" s="51"/>
      <c r="H1321" s="51"/>
      <c r="L1321" s="51"/>
      <c r="P1321" s="51"/>
      <c r="T1321" s="51"/>
      <c r="V1321" s="51"/>
      <c r="X1321" s="51"/>
    </row>
    <row r="1322" spans="6:24">
      <c r="F1322" s="51"/>
      <c r="H1322" s="51"/>
      <c r="L1322" s="51"/>
      <c r="P1322" s="51"/>
      <c r="T1322" s="51"/>
      <c r="V1322" s="51"/>
      <c r="X1322" s="51"/>
    </row>
    <row r="1323" spans="6:24">
      <c r="F1323" s="51"/>
      <c r="H1323" s="51"/>
      <c r="L1323" s="51"/>
      <c r="P1323" s="51"/>
      <c r="T1323" s="51"/>
      <c r="V1323" s="51"/>
      <c r="X1323" s="51"/>
    </row>
    <row r="1324" spans="6:24">
      <c r="F1324" s="51"/>
      <c r="H1324" s="51"/>
      <c r="L1324" s="51"/>
      <c r="P1324" s="51"/>
      <c r="T1324" s="51"/>
      <c r="V1324" s="51"/>
      <c r="X1324" s="51"/>
    </row>
    <row r="1325" spans="6:24">
      <c r="F1325" s="51"/>
      <c r="H1325" s="51"/>
      <c r="L1325" s="51"/>
      <c r="P1325" s="51"/>
      <c r="T1325" s="51"/>
      <c r="V1325" s="51"/>
      <c r="X1325" s="51"/>
    </row>
    <row r="1326" spans="6:24">
      <c r="F1326" s="51"/>
      <c r="H1326" s="51"/>
      <c r="L1326" s="51"/>
      <c r="P1326" s="51"/>
      <c r="T1326" s="51"/>
      <c r="V1326" s="51"/>
      <c r="X1326" s="51"/>
    </row>
    <row r="1327" spans="6:24">
      <c r="F1327" s="51"/>
      <c r="H1327" s="51"/>
      <c r="L1327" s="51"/>
      <c r="P1327" s="51"/>
      <c r="T1327" s="51"/>
      <c r="V1327" s="51"/>
      <c r="X1327" s="51"/>
    </row>
    <row r="1328" spans="6:24">
      <c r="F1328" s="51"/>
      <c r="H1328" s="51"/>
      <c r="L1328" s="51"/>
      <c r="P1328" s="51"/>
      <c r="T1328" s="51"/>
      <c r="V1328" s="51"/>
      <c r="X1328" s="51"/>
    </row>
    <row r="1329" spans="6:24">
      <c r="F1329" s="51"/>
      <c r="H1329" s="51"/>
      <c r="L1329" s="51"/>
      <c r="P1329" s="51"/>
      <c r="T1329" s="51"/>
      <c r="V1329" s="51"/>
      <c r="X1329" s="51"/>
    </row>
    <row r="1330" spans="6:24">
      <c r="F1330" s="51"/>
      <c r="H1330" s="51"/>
      <c r="L1330" s="51"/>
      <c r="P1330" s="51"/>
      <c r="T1330" s="51"/>
      <c r="V1330" s="51"/>
      <c r="X1330" s="51"/>
    </row>
    <row r="1331" spans="6:24">
      <c r="F1331" s="51"/>
      <c r="H1331" s="51"/>
      <c r="L1331" s="51"/>
      <c r="P1331" s="51"/>
      <c r="T1331" s="51"/>
      <c r="V1331" s="51"/>
      <c r="X1331" s="51"/>
    </row>
    <row r="1332" spans="6:24">
      <c r="F1332" s="51"/>
      <c r="H1332" s="51"/>
      <c r="L1332" s="51"/>
      <c r="P1332" s="51"/>
      <c r="T1332" s="51"/>
      <c r="V1332" s="51"/>
      <c r="X1332" s="51"/>
    </row>
    <row r="1333" spans="6:24">
      <c r="F1333" s="51"/>
      <c r="H1333" s="51"/>
      <c r="L1333" s="51"/>
      <c r="P1333" s="51"/>
      <c r="T1333" s="51"/>
      <c r="V1333" s="51"/>
      <c r="X1333" s="51"/>
    </row>
    <row r="1334" spans="6:24">
      <c r="F1334" s="51"/>
      <c r="H1334" s="51"/>
      <c r="L1334" s="51"/>
      <c r="P1334" s="51"/>
      <c r="T1334" s="51"/>
      <c r="V1334" s="51"/>
      <c r="X1334" s="51"/>
    </row>
    <row r="1335" spans="6:24">
      <c r="F1335" s="51"/>
      <c r="H1335" s="51"/>
      <c r="L1335" s="51"/>
      <c r="P1335" s="51"/>
      <c r="T1335" s="51"/>
      <c r="V1335" s="51"/>
      <c r="X1335" s="51"/>
    </row>
    <row r="1336" spans="6:24">
      <c r="F1336" s="51"/>
      <c r="H1336" s="51"/>
      <c r="L1336" s="51"/>
      <c r="P1336" s="51"/>
      <c r="T1336" s="51"/>
      <c r="V1336" s="51"/>
      <c r="X1336" s="51"/>
    </row>
    <row r="1337" spans="6:24">
      <c r="F1337" s="51"/>
      <c r="H1337" s="51"/>
      <c r="L1337" s="51"/>
      <c r="P1337" s="51"/>
      <c r="T1337" s="51"/>
      <c r="V1337" s="51"/>
      <c r="X1337" s="51"/>
    </row>
    <row r="1338" spans="6:24">
      <c r="F1338" s="51"/>
      <c r="H1338" s="51"/>
      <c r="L1338" s="51"/>
      <c r="P1338" s="51"/>
      <c r="T1338" s="51"/>
      <c r="V1338" s="51"/>
      <c r="X1338" s="51"/>
    </row>
    <row r="1339" spans="6:24">
      <c r="F1339" s="51"/>
      <c r="H1339" s="51"/>
      <c r="L1339" s="51"/>
      <c r="P1339" s="51"/>
      <c r="T1339" s="51"/>
      <c r="V1339" s="51"/>
      <c r="X1339" s="51"/>
    </row>
    <row r="1340" spans="6:24">
      <c r="F1340" s="51"/>
      <c r="H1340" s="51"/>
      <c r="L1340" s="51"/>
      <c r="P1340" s="51"/>
      <c r="T1340" s="51"/>
      <c r="V1340" s="51"/>
      <c r="X1340" s="51"/>
    </row>
    <row r="1341" spans="6:24">
      <c r="F1341" s="51"/>
      <c r="H1341" s="51"/>
      <c r="L1341" s="51"/>
      <c r="P1341" s="51"/>
      <c r="T1341" s="51"/>
      <c r="V1341" s="51"/>
      <c r="X1341" s="51"/>
    </row>
    <row r="1342" spans="6:24">
      <c r="F1342" s="51"/>
      <c r="H1342" s="51"/>
      <c r="L1342" s="51"/>
      <c r="P1342" s="51"/>
      <c r="T1342" s="51"/>
      <c r="V1342" s="51"/>
      <c r="X1342" s="51"/>
    </row>
    <row r="1343" spans="6:24">
      <c r="F1343" s="51"/>
      <c r="H1343" s="51"/>
      <c r="L1343" s="51"/>
      <c r="P1343" s="51"/>
      <c r="T1343" s="51"/>
      <c r="V1343" s="51"/>
      <c r="X1343" s="51"/>
    </row>
    <row r="1344" spans="6:24">
      <c r="F1344" s="51"/>
      <c r="H1344" s="51"/>
      <c r="L1344" s="51"/>
      <c r="P1344" s="51"/>
      <c r="T1344" s="51"/>
      <c r="V1344" s="51"/>
      <c r="X1344" s="51"/>
    </row>
    <row r="1345" spans="6:24">
      <c r="F1345" s="51"/>
      <c r="H1345" s="51"/>
      <c r="L1345" s="51"/>
      <c r="P1345" s="51"/>
      <c r="T1345" s="51"/>
      <c r="V1345" s="51"/>
      <c r="X1345" s="51"/>
    </row>
    <row r="1346" spans="6:24">
      <c r="F1346" s="51"/>
      <c r="H1346" s="51"/>
      <c r="L1346" s="51"/>
      <c r="P1346" s="51"/>
      <c r="T1346" s="51"/>
      <c r="V1346" s="51"/>
      <c r="X1346" s="51"/>
    </row>
    <row r="1347" spans="6:24">
      <c r="F1347" s="51"/>
      <c r="H1347" s="51"/>
      <c r="L1347" s="51"/>
      <c r="P1347" s="51"/>
      <c r="T1347" s="51"/>
      <c r="V1347" s="51"/>
      <c r="X1347" s="51"/>
    </row>
    <row r="1348" spans="6:24">
      <c r="F1348" s="51"/>
      <c r="H1348" s="51"/>
      <c r="L1348" s="51"/>
      <c r="P1348" s="51"/>
      <c r="T1348" s="51"/>
      <c r="V1348" s="51"/>
      <c r="X1348" s="51"/>
    </row>
    <row r="1349" spans="6:24">
      <c r="F1349" s="51"/>
      <c r="H1349" s="51"/>
      <c r="L1349" s="51"/>
      <c r="P1349" s="51"/>
      <c r="T1349" s="51"/>
      <c r="V1349" s="51"/>
      <c r="X1349" s="51"/>
    </row>
    <row r="1350" spans="6:24">
      <c r="F1350" s="51"/>
      <c r="H1350" s="51"/>
      <c r="L1350" s="51"/>
      <c r="P1350" s="51"/>
      <c r="T1350" s="51"/>
      <c r="V1350" s="51"/>
      <c r="X1350" s="51"/>
    </row>
    <row r="1351" spans="6:24">
      <c r="F1351" s="51"/>
      <c r="H1351" s="51"/>
      <c r="L1351" s="51"/>
      <c r="P1351" s="51"/>
      <c r="T1351" s="51"/>
      <c r="V1351" s="51"/>
      <c r="X1351" s="51"/>
    </row>
    <row r="1352" spans="6:24">
      <c r="F1352" s="51"/>
      <c r="H1352" s="51"/>
      <c r="L1352" s="51"/>
      <c r="P1352" s="51"/>
      <c r="T1352" s="51"/>
      <c r="V1352" s="51"/>
      <c r="X1352" s="51"/>
    </row>
    <row r="1353" spans="6:24">
      <c r="F1353" s="51"/>
      <c r="H1353" s="51"/>
      <c r="L1353" s="51"/>
      <c r="P1353" s="51"/>
      <c r="T1353" s="51"/>
      <c r="V1353" s="51"/>
      <c r="X1353" s="51"/>
    </row>
    <row r="1354" spans="6:24">
      <c r="F1354" s="51"/>
      <c r="H1354" s="51"/>
      <c r="L1354" s="51"/>
      <c r="P1354" s="51"/>
      <c r="T1354" s="51"/>
      <c r="V1354" s="51"/>
      <c r="X1354" s="51"/>
    </row>
    <row r="1355" spans="6:24">
      <c r="F1355" s="51"/>
      <c r="H1355" s="51"/>
      <c r="L1355" s="51"/>
      <c r="P1355" s="51"/>
      <c r="T1355" s="51"/>
      <c r="V1355" s="51"/>
      <c r="X1355" s="51"/>
    </row>
    <row r="1356" spans="6:24">
      <c r="F1356" s="51"/>
      <c r="H1356" s="51"/>
      <c r="L1356" s="51"/>
      <c r="P1356" s="51"/>
      <c r="T1356" s="51"/>
      <c r="V1356" s="51"/>
      <c r="X1356" s="51"/>
    </row>
    <row r="1357" spans="6:24">
      <c r="F1357" s="51"/>
      <c r="H1357" s="51"/>
      <c r="L1357" s="51"/>
      <c r="P1357" s="51"/>
      <c r="T1357" s="51"/>
      <c r="V1357" s="51"/>
      <c r="X1357" s="51"/>
    </row>
    <row r="1358" spans="6:24">
      <c r="F1358" s="51"/>
      <c r="H1358" s="51"/>
      <c r="L1358" s="51"/>
      <c r="P1358" s="51"/>
      <c r="T1358" s="51"/>
      <c r="V1358" s="51"/>
      <c r="X1358" s="51"/>
    </row>
    <row r="1359" spans="6:24">
      <c r="F1359" s="51"/>
      <c r="H1359" s="51"/>
      <c r="L1359" s="51"/>
      <c r="P1359" s="51"/>
      <c r="T1359" s="51"/>
      <c r="V1359" s="51"/>
      <c r="X1359" s="51"/>
    </row>
    <row r="1360" spans="6:24">
      <c r="F1360" s="51"/>
      <c r="H1360" s="51"/>
      <c r="L1360" s="51"/>
      <c r="P1360" s="51"/>
      <c r="T1360" s="51"/>
      <c r="V1360" s="51"/>
      <c r="X1360" s="51"/>
    </row>
    <row r="1361" spans="6:24">
      <c r="F1361" s="51"/>
      <c r="H1361" s="51"/>
      <c r="L1361" s="51"/>
      <c r="P1361" s="51"/>
      <c r="T1361" s="51"/>
      <c r="V1361" s="51"/>
      <c r="X1361" s="51"/>
    </row>
    <row r="1362" spans="6:24">
      <c r="F1362" s="51"/>
      <c r="H1362" s="51"/>
      <c r="L1362" s="51"/>
      <c r="P1362" s="51"/>
      <c r="T1362" s="51"/>
      <c r="V1362" s="51"/>
      <c r="X1362" s="51"/>
    </row>
    <row r="1363" spans="6:24">
      <c r="F1363" s="51"/>
      <c r="H1363" s="51"/>
      <c r="L1363" s="51"/>
      <c r="P1363" s="51"/>
      <c r="T1363" s="51"/>
      <c r="V1363" s="51"/>
      <c r="X1363" s="51"/>
    </row>
    <row r="1364" spans="6:24">
      <c r="F1364" s="51"/>
      <c r="H1364" s="51"/>
      <c r="L1364" s="51"/>
      <c r="P1364" s="51"/>
      <c r="T1364" s="51"/>
      <c r="V1364" s="51"/>
      <c r="X1364" s="51"/>
    </row>
    <row r="1365" spans="6:24">
      <c r="F1365" s="51"/>
      <c r="H1365" s="51"/>
      <c r="L1365" s="51"/>
      <c r="P1365" s="51"/>
      <c r="T1365" s="51"/>
      <c r="V1365" s="51"/>
      <c r="X1365" s="51"/>
    </row>
    <row r="1366" spans="6:24">
      <c r="F1366" s="51"/>
      <c r="H1366" s="51"/>
      <c r="L1366" s="51"/>
      <c r="P1366" s="51"/>
      <c r="T1366" s="51"/>
      <c r="V1366" s="51"/>
      <c r="X1366" s="51"/>
    </row>
    <row r="1367" spans="6:24">
      <c r="F1367" s="51"/>
      <c r="H1367" s="51"/>
      <c r="L1367" s="51"/>
      <c r="P1367" s="51"/>
      <c r="T1367" s="51"/>
      <c r="V1367" s="51"/>
      <c r="X1367" s="51"/>
    </row>
    <row r="1368" spans="6:24">
      <c r="F1368" s="51"/>
      <c r="H1368" s="51"/>
      <c r="L1368" s="51"/>
      <c r="P1368" s="51"/>
      <c r="T1368" s="51"/>
      <c r="V1368" s="51"/>
      <c r="X1368" s="51"/>
    </row>
    <row r="1369" spans="6:24">
      <c r="F1369" s="51"/>
      <c r="H1369" s="51"/>
      <c r="L1369" s="51"/>
      <c r="P1369" s="51"/>
      <c r="T1369" s="51"/>
      <c r="V1369" s="51"/>
      <c r="X1369" s="51"/>
    </row>
    <row r="1370" spans="6:24">
      <c r="F1370" s="51"/>
      <c r="H1370" s="51"/>
      <c r="L1370" s="51"/>
      <c r="P1370" s="51"/>
      <c r="T1370" s="51"/>
      <c r="V1370" s="51"/>
      <c r="X1370" s="51"/>
    </row>
    <row r="1371" spans="6:24">
      <c r="F1371" s="51"/>
      <c r="H1371" s="51"/>
      <c r="L1371" s="51"/>
      <c r="P1371" s="51"/>
      <c r="T1371" s="51"/>
      <c r="V1371" s="51"/>
      <c r="X1371" s="51"/>
    </row>
    <row r="1372" spans="6:24">
      <c r="F1372" s="51"/>
      <c r="H1372" s="51"/>
      <c r="L1372" s="51"/>
      <c r="P1372" s="51"/>
      <c r="T1372" s="51"/>
      <c r="V1372" s="51"/>
      <c r="X1372" s="51"/>
    </row>
    <row r="1373" spans="6:24">
      <c r="F1373" s="51"/>
      <c r="H1373" s="51"/>
      <c r="L1373" s="51"/>
      <c r="P1373" s="51"/>
      <c r="T1373" s="51"/>
      <c r="V1373" s="51"/>
      <c r="X1373" s="51"/>
    </row>
    <row r="1374" spans="6:24">
      <c r="F1374" s="51"/>
      <c r="H1374" s="51"/>
      <c r="L1374" s="51"/>
      <c r="P1374" s="51"/>
      <c r="T1374" s="51"/>
      <c r="V1374" s="51"/>
      <c r="X1374" s="51"/>
    </row>
    <row r="1375" spans="6:24">
      <c r="F1375" s="51"/>
      <c r="H1375" s="51"/>
      <c r="L1375" s="51"/>
      <c r="P1375" s="51"/>
      <c r="T1375" s="51"/>
      <c r="V1375" s="51"/>
      <c r="X1375" s="51"/>
    </row>
    <row r="1376" spans="6:24">
      <c r="F1376" s="51"/>
      <c r="H1376" s="51"/>
      <c r="L1376" s="51"/>
      <c r="P1376" s="51"/>
      <c r="T1376" s="51"/>
      <c r="V1376" s="51"/>
      <c r="X1376" s="51"/>
    </row>
    <row r="1377" spans="6:24">
      <c r="F1377" s="51"/>
      <c r="H1377" s="51"/>
      <c r="L1377" s="51"/>
      <c r="P1377" s="51"/>
      <c r="T1377" s="51"/>
      <c r="V1377" s="51"/>
      <c r="X1377" s="51"/>
    </row>
    <row r="1378" spans="6:24">
      <c r="F1378" s="51"/>
      <c r="H1378" s="51"/>
      <c r="L1378" s="51"/>
      <c r="P1378" s="51"/>
      <c r="T1378" s="51"/>
      <c r="V1378" s="51"/>
      <c r="X1378" s="51"/>
    </row>
    <row r="1379" spans="6:24">
      <c r="F1379" s="51"/>
      <c r="H1379" s="51"/>
      <c r="L1379" s="51"/>
      <c r="P1379" s="51"/>
      <c r="T1379" s="51"/>
      <c r="V1379" s="51"/>
      <c r="X1379" s="51"/>
    </row>
    <row r="1380" spans="6:24">
      <c r="F1380" s="51"/>
      <c r="H1380" s="51"/>
      <c r="L1380" s="51"/>
      <c r="P1380" s="51"/>
      <c r="T1380" s="51"/>
      <c r="V1380" s="51"/>
      <c r="X1380" s="51"/>
    </row>
    <row r="1381" spans="6:24">
      <c r="F1381" s="51"/>
      <c r="H1381" s="51"/>
      <c r="L1381" s="51"/>
      <c r="P1381" s="51"/>
      <c r="T1381" s="51"/>
      <c r="V1381" s="51"/>
      <c r="X1381" s="51"/>
    </row>
    <row r="1382" spans="6:24">
      <c r="F1382" s="51"/>
      <c r="H1382" s="51"/>
      <c r="L1382" s="51"/>
      <c r="P1382" s="51"/>
      <c r="T1382" s="51"/>
      <c r="V1382" s="51"/>
      <c r="X1382" s="51"/>
    </row>
    <row r="1383" spans="6:24">
      <c r="F1383" s="51"/>
      <c r="H1383" s="51"/>
      <c r="L1383" s="51"/>
      <c r="P1383" s="51"/>
      <c r="T1383" s="51"/>
      <c r="V1383" s="51"/>
      <c r="X1383" s="51"/>
    </row>
    <row r="1384" spans="6:24">
      <c r="F1384" s="51"/>
      <c r="H1384" s="51"/>
      <c r="L1384" s="51"/>
      <c r="P1384" s="51"/>
      <c r="T1384" s="51"/>
      <c r="V1384" s="51"/>
      <c r="X1384" s="51"/>
    </row>
    <row r="1385" spans="6:24">
      <c r="F1385" s="51"/>
      <c r="H1385" s="51"/>
      <c r="L1385" s="51"/>
      <c r="P1385" s="51"/>
      <c r="T1385" s="51"/>
      <c r="V1385" s="51"/>
      <c r="X1385" s="51"/>
    </row>
    <row r="1386" spans="6:24">
      <c r="F1386" s="51"/>
      <c r="H1386" s="51"/>
      <c r="L1386" s="51"/>
      <c r="P1386" s="51"/>
      <c r="T1386" s="51"/>
      <c r="V1386" s="51"/>
      <c r="X1386" s="51"/>
    </row>
    <row r="1387" spans="6:24">
      <c r="F1387" s="51"/>
      <c r="H1387" s="51"/>
      <c r="L1387" s="51"/>
      <c r="P1387" s="51"/>
      <c r="T1387" s="51"/>
      <c r="V1387" s="51"/>
      <c r="X1387" s="51"/>
    </row>
    <row r="1388" spans="6:24">
      <c r="F1388" s="51"/>
      <c r="H1388" s="51"/>
      <c r="L1388" s="51"/>
      <c r="P1388" s="51"/>
      <c r="T1388" s="51"/>
      <c r="V1388" s="51"/>
      <c r="X1388" s="51"/>
    </row>
    <row r="1389" spans="6:24">
      <c r="F1389" s="51"/>
      <c r="H1389" s="51"/>
      <c r="L1389" s="51"/>
      <c r="P1389" s="51"/>
      <c r="T1389" s="51"/>
      <c r="V1389" s="51"/>
      <c r="X1389" s="51"/>
    </row>
    <row r="1390" spans="6:24">
      <c r="F1390" s="51"/>
      <c r="H1390" s="51"/>
      <c r="L1390" s="51"/>
      <c r="P1390" s="51"/>
      <c r="T1390" s="51"/>
      <c r="V1390" s="51"/>
      <c r="X1390" s="51"/>
    </row>
    <row r="1391" spans="6:24">
      <c r="F1391" s="51"/>
      <c r="H1391" s="51"/>
      <c r="L1391" s="51"/>
      <c r="P1391" s="51"/>
      <c r="T1391" s="51"/>
      <c r="V1391" s="51"/>
      <c r="X1391" s="51"/>
    </row>
    <row r="1392" spans="6:24">
      <c r="F1392" s="51"/>
      <c r="H1392" s="51"/>
      <c r="L1392" s="51"/>
      <c r="P1392" s="51"/>
      <c r="T1392" s="51"/>
      <c r="V1392" s="51"/>
      <c r="X1392" s="51"/>
    </row>
    <row r="1393" spans="6:24">
      <c r="F1393" s="51"/>
      <c r="H1393" s="51"/>
      <c r="L1393" s="51"/>
      <c r="P1393" s="51"/>
      <c r="T1393" s="51"/>
      <c r="V1393" s="51"/>
      <c r="X1393" s="51"/>
    </row>
    <row r="1394" spans="6:24">
      <c r="F1394" s="51"/>
      <c r="H1394" s="51"/>
      <c r="L1394" s="51"/>
      <c r="P1394" s="51"/>
      <c r="T1394" s="51"/>
      <c r="V1394" s="51"/>
      <c r="X1394" s="51"/>
    </row>
    <row r="1395" spans="6:24">
      <c r="F1395" s="51"/>
      <c r="H1395" s="51"/>
      <c r="L1395" s="51"/>
      <c r="P1395" s="51"/>
      <c r="T1395" s="51"/>
      <c r="V1395" s="51"/>
      <c r="X1395" s="51"/>
    </row>
    <row r="1396" spans="6:24">
      <c r="F1396" s="51"/>
      <c r="H1396" s="51"/>
      <c r="L1396" s="51"/>
      <c r="P1396" s="51"/>
      <c r="T1396" s="51"/>
      <c r="V1396" s="51"/>
      <c r="X1396" s="51"/>
    </row>
    <row r="1397" spans="6:24">
      <c r="F1397" s="51"/>
      <c r="H1397" s="51"/>
      <c r="L1397" s="51"/>
      <c r="P1397" s="51"/>
      <c r="T1397" s="51"/>
      <c r="V1397" s="51"/>
      <c r="X1397" s="51"/>
    </row>
    <row r="1398" spans="6:24">
      <c r="F1398" s="51"/>
      <c r="H1398" s="51"/>
      <c r="L1398" s="51"/>
      <c r="P1398" s="51"/>
      <c r="T1398" s="51"/>
      <c r="V1398" s="51"/>
      <c r="X1398" s="51"/>
    </row>
    <row r="1399" spans="6:24">
      <c r="F1399" s="51"/>
      <c r="H1399" s="51"/>
      <c r="L1399" s="51"/>
      <c r="P1399" s="51"/>
      <c r="T1399" s="51"/>
      <c r="V1399" s="51"/>
      <c r="X1399" s="51"/>
    </row>
    <row r="1400" spans="6:24">
      <c r="F1400" s="51"/>
      <c r="H1400" s="51"/>
      <c r="L1400" s="51"/>
      <c r="P1400" s="51"/>
      <c r="T1400" s="51"/>
      <c r="V1400" s="51"/>
      <c r="X1400" s="51"/>
    </row>
    <row r="1401" spans="6:24">
      <c r="F1401" s="51"/>
      <c r="H1401" s="51"/>
      <c r="L1401" s="51"/>
      <c r="P1401" s="51"/>
      <c r="T1401" s="51"/>
      <c r="V1401" s="51"/>
      <c r="X1401" s="51"/>
    </row>
    <row r="1402" spans="6:24">
      <c r="F1402" s="51"/>
      <c r="H1402" s="51"/>
      <c r="L1402" s="51"/>
      <c r="P1402" s="51"/>
      <c r="T1402" s="51"/>
      <c r="V1402" s="51"/>
      <c r="X1402" s="51"/>
    </row>
    <row r="1403" spans="6:24">
      <c r="F1403" s="51"/>
      <c r="H1403" s="51"/>
      <c r="L1403" s="51"/>
      <c r="P1403" s="51"/>
      <c r="T1403" s="51"/>
      <c r="V1403" s="51"/>
      <c r="X1403" s="51"/>
    </row>
    <row r="1404" spans="6:24">
      <c r="F1404" s="51"/>
      <c r="H1404" s="51"/>
      <c r="L1404" s="51"/>
      <c r="P1404" s="51"/>
      <c r="T1404" s="51"/>
      <c r="V1404" s="51"/>
      <c r="X1404" s="51"/>
    </row>
    <row r="1405" spans="6:24">
      <c r="F1405" s="51"/>
      <c r="H1405" s="51"/>
      <c r="L1405" s="51"/>
      <c r="P1405" s="51"/>
      <c r="T1405" s="51"/>
      <c r="V1405" s="51"/>
      <c r="X1405" s="51"/>
    </row>
    <row r="1406" spans="6:24">
      <c r="F1406" s="51"/>
      <c r="H1406" s="51"/>
      <c r="L1406" s="51"/>
      <c r="P1406" s="51"/>
      <c r="T1406" s="51"/>
      <c r="V1406" s="51"/>
      <c r="X1406" s="51"/>
    </row>
    <row r="1407" spans="6:24">
      <c r="F1407" s="51"/>
      <c r="H1407" s="51"/>
      <c r="L1407" s="51"/>
      <c r="P1407" s="51"/>
      <c r="T1407" s="51"/>
      <c r="V1407" s="51"/>
      <c r="X1407" s="51"/>
    </row>
    <row r="1408" spans="6:24">
      <c r="F1408" s="51"/>
      <c r="H1408" s="51"/>
      <c r="L1408" s="51"/>
      <c r="P1408" s="51"/>
      <c r="T1408" s="51"/>
      <c r="V1408" s="51"/>
      <c r="X1408" s="51"/>
    </row>
    <row r="1409" spans="6:24">
      <c r="F1409" s="51"/>
      <c r="H1409" s="51"/>
      <c r="L1409" s="51"/>
      <c r="P1409" s="51"/>
      <c r="T1409" s="51"/>
      <c r="V1409" s="51"/>
      <c r="X1409" s="51"/>
    </row>
    <row r="1410" spans="6:24">
      <c r="F1410" s="51"/>
      <c r="H1410" s="51"/>
      <c r="L1410" s="51"/>
      <c r="P1410" s="51"/>
      <c r="T1410" s="51"/>
      <c r="V1410" s="51"/>
      <c r="X1410" s="51"/>
    </row>
    <row r="1411" spans="6:24">
      <c r="F1411" s="51"/>
      <c r="H1411" s="51"/>
      <c r="L1411" s="51"/>
      <c r="P1411" s="51"/>
      <c r="T1411" s="51"/>
      <c r="V1411" s="51"/>
      <c r="X1411" s="51"/>
    </row>
    <row r="1412" spans="6:24">
      <c r="F1412" s="51"/>
      <c r="H1412" s="51"/>
      <c r="L1412" s="51"/>
      <c r="P1412" s="51"/>
      <c r="T1412" s="51"/>
      <c r="V1412" s="51"/>
      <c r="X1412" s="51"/>
    </row>
    <row r="1413" spans="6:24">
      <c r="F1413" s="51"/>
      <c r="H1413" s="51"/>
      <c r="L1413" s="51"/>
      <c r="P1413" s="51"/>
      <c r="T1413" s="51"/>
      <c r="V1413" s="51"/>
      <c r="X1413" s="51"/>
    </row>
    <row r="1414" spans="6:24">
      <c r="F1414" s="51"/>
      <c r="H1414" s="51"/>
      <c r="L1414" s="51"/>
      <c r="P1414" s="51"/>
      <c r="T1414" s="51"/>
      <c r="V1414" s="51"/>
      <c r="X1414" s="51"/>
    </row>
    <row r="1415" spans="6:24">
      <c r="F1415" s="51"/>
      <c r="H1415" s="51"/>
      <c r="L1415" s="51"/>
      <c r="P1415" s="51"/>
      <c r="T1415" s="51"/>
      <c r="V1415" s="51"/>
      <c r="X1415" s="51"/>
    </row>
    <row r="1416" spans="6:24">
      <c r="F1416" s="51"/>
      <c r="H1416" s="51"/>
      <c r="L1416" s="51"/>
      <c r="P1416" s="51"/>
      <c r="T1416" s="51"/>
      <c r="V1416" s="51"/>
      <c r="X1416" s="51"/>
    </row>
    <row r="1417" spans="6:24">
      <c r="F1417" s="51"/>
      <c r="H1417" s="51"/>
      <c r="L1417" s="51"/>
      <c r="P1417" s="51"/>
      <c r="T1417" s="51"/>
      <c r="V1417" s="51"/>
      <c r="X1417" s="51"/>
    </row>
    <row r="1418" spans="6:24">
      <c r="F1418" s="51"/>
      <c r="H1418" s="51"/>
      <c r="L1418" s="51"/>
      <c r="P1418" s="51"/>
      <c r="T1418" s="51"/>
      <c r="V1418" s="51"/>
      <c r="X1418" s="51"/>
    </row>
    <row r="1419" spans="6:24">
      <c r="F1419" s="51"/>
      <c r="H1419" s="51"/>
      <c r="L1419" s="51"/>
      <c r="P1419" s="51"/>
      <c r="T1419" s="51"/>
      <c r="V1419" s="51"/>
      <c r="X1419" s="51"/>
    </row>
    <row r="1420" spans="6:24">
      <c r="F1420" s="51"/>
      <c r="H1420" s="51"/>
      <c r="L1420" s="51"/>
      <c r="P1420" s="51"/>
      <c r="T1420" s="51"/>
      <c r="V1420" s="51"/>
      <c r="X1420" s="51"/>
    </row>
    <row r="1421" spans="6:24">
      <c r="F1421" s="51"/>
      <c r="H1421" s="51"/>
      <c r="L1421" s="51"/>
      <c r="P1421" s="51"/>
      <c r="T1421" s="51"/>
      <c r="V1421" s="51"/>
      <c r="X1421" s="51"/>
    </row>
    <row r="1422" spans="6:24">
      <c r="F1422" s="51"/>
      <c r="H1422" s="51"/>
      <c r="L1422" s="51"/>
      <c r="P1422" s="51"/>
      <c r="T1422" s="51"/>
      <c r="V1422" s="51"/>
      <c r="X1422" s="51"/>
    </row>
    <row r="1423" spans="6:24">
      <c r="F1423" s="51"/>
      <c r="H1423" s="51"/>
      <c r="L1423" s="51"/>
      <c r="P1423" s="51"/>
      <c r="T1423" s="51"/>
      <c r="V1423" s="51"/>
      <c r="X1423" s="51"/>
    </row>
    <row r="1424" spans="6:24">
      <c r="F1424" s="51"/>
      <c r="H1424" s="51"/>
      <c r="L1424" s="51"/>
      <c r="P1424" s="51"/>
      <c r="T1424" s="51"/>
      <c r="V1424" s="51"/>
      <c r="X1424" s="51"/>
    </row>
    <row r="1425" spans="6:24">
      <c r="F1425" s="51"/>
      <c r="H1425" s="51"/>
      <c r="L1425" s="51"/>
      <c r="P1425" s="51"/>
      <c r="T1425" s="51"/>
      <c r="V1425" s="51"/>
      <c r="X1425" s="51"/>
    </row>
    <row r="1426" spans="6:24">
      <c r="F1426" s="51"/>
      <c r="H1426" s="51"/>
      <c r="L1426" s="51"/>
      <c r="P1426" s="51"/>
      <c r="T1426" s="51"/>
      <c r="V1426" s="51"/>
      <c r="X1426" s="51"/>
    </row>
    <row r="1427" spans="6:24">
      <c r="F1427" s="51"/>
      <c r="H1427" s="51"/>
      <c r="L1427" s="51"/>
      <c r="P1427" s="51"/>
      <c r="T1427" s="51"/>
      <c r="V1427" s="51"/>
      <c r="X1427" s="51"/>
    </row>
    <row r="1428" spans="6:24">
      <c r="F1428" s="51"/>
      <c r="H1428" s="51"/>
      <c r="L1428" s="51"/>
      <c r="P1428" s="51"/>
      <c r="T1428" s="51"/>
      <c r="V1428" s="51"/>
      <c r="X1428" s="51"/>
    </row>
    <row r="1429" spans="6:24">
      <c r="F1429" s="51"/>
      <c r="H1429" s="51"/>
      <c r="L1429" s="51"/>
      <c r="P1429" s="51"/>
      <c r="T1429" s="51"/>
      <c r="V1429" s="51"/>
      <c r="X1429" s="51"/>
    </row>
    <row r="1430" spans="6:24">
      <c r="F1430" s="51"/>
      <c r="H1430" s="51"/>
      <c r="L1430" s="51"/>
      <c r="P1430" s="51"/>
      <c r="T1430" s="51"/>
      <c r="V1430" s="51"/>
      <c r="X1430" s="51"/>
    </row>
    <row r="1431" spans="6:24">
      <c r="F1431" s="51"/>
      <c r="H1431" s="51"/>
      <c r="L1431" s="51"/>
      <c r="P1431" s="51"/>
      <c r="T1431" s="51"/>
      <c r="V1431" s="51"/>
      <c r="X1431" s="51"/>
    </row>
    <row r="1432" spans="6:24">
      <c r="F1432" s="51"/>
      <c r="H1432" s="51"/>
      <c r="L1432" s="51"/>
      <c r="P1432" s="51"/>
      <c r="T1432" s="51"/>
      <c r="V1432" s="51"/>
      <c r="X1432" s="51"/>
    </row>
    <row r="1433" spans="6:24">
      <c r="F1433" s="51"/>
      <c r="H1433" s="51"/>
      <c r="L1433" s="51"/>
      <c r="P1433" s="51"/>
      <c r="T1433" s="51"/>
      <c r="V1433" s="51"/>
      <c r="X1433" s="51"/>
    </row>
    <row r="1434" spans="6:24">
      <c r="F1434" s="51"/>
      <c r="H1434" s="51"/>
      <c r="L1434" s="51"/>
      <c r="P1434" s="51"/>
      <c r="T1434" s="51"/>
      <c r="V1434" s="51"/>
      <c r="X1434" s="51"/>
    </row>
    <row r="1435" spans="6:24">
      <c r="F1435" s="51"/>
      <c r="H1435" s="51"/>
      <c r="L1435" s="51"/>
      <c r="P1435" s="51"/>
      <c r="T1435" s="51"/>
      <c r="V1435" s="51"/>
      <c r="X1435" s="51"/>
    </row>
    <row r="1436" spans="6:24">
      <c r="F1436" s="51"/>
      <c r="H1436" s="51"/>
      <c r="L1436" s="51"/>
      <c r="P1436" s="51"/>
      <c r="T1436" s="51"/>
      <c r="V1436" s="51"/>
      <c r="X1436" s="51"/>
    </row>
    <row r="1437" spans="6:24">
      <c r="F1437" s="51"/>
      <c r="H1437" s="51"/>
      <c r="L1437" s="51"/>
      <c r="P1437" s="51"/>
      <c r="T1437" s="51"/>
      <c r="V1437" s="51"/>
      <c r="X1437" s="51"/>
    </row>
    <row r="1438" spans="6:24">
      <c r="F1438" s="51"/>
      <c r="H1438" s="51"/>
      <c r="L1438" s="51"/>
      <c r="P1438" s="51"/>
      <c r="T1438" s="51"/>
      <c r="V1438" s="51"/>
      <c r="X1438" s="51"/>
    </row>
    <row r="1439" spans="6:24">
      <c r="F1439" s="51"/>
      <c r="H1439" s="51"/>
      <c r="L1439" s="51"/>
      <c r="P1439" s="51"/>
      <c r="T1439" s="51"/>
      <c r="V1439" s="51"/>
      <c r="X1439" s="51"/>
    </row>
    <row r="1440" spans="6:24">
      <c r="F1440" s="51"/>
      <c r="H1440" s="51"/>
      <c r="L1440" s="51"/>
      <c r="P1440" s="51"/>
      <c r="T1440" s="51"/>
      <c r="V1440" s="51"/>
      <c r="X1440" s="51"/>
    </row>
    <row r="1441" spans="6:24">
      <c r="F1441" s="51"/>
      <c r="H1441" s="51"/>
      <c r="L1441" s="51"/>
      <c r="P1441" s="51"/>
      <c r="T1441" s="51"/>
      <c r="V1441" s="51"/>
      <c r="X1441" s="51"/>
    </row>
    <row r="1442" spans="6:24">
      <c r="F1442" s="51"/>
      <c r="H1442" s="51"/>
      <c r="L1442" s="51"/>
      <c r="P1442" s="51"/>
      <c r="T1442" s="51"/>
      <c r="V1442" s="51"/>
      <c r="X1442" s="51"/>
    </row>
    <row r="1443" spans="6:24">
      <c r="F1443" s="51"/>
      <c r="H1443" s="51"/>
      <c r="L1443" s="51"/>
      <c r="P1443" s="51"/>
      <c r="T1443" s="51"/>
      <c r="V1443" s="51"/>
      <c r="X1443" s="51"/>
    </row>
    <row r="1444" spans="6:24">
      <c r="F1444" s="51"/>
      <c r="H1444" s="51"/>
      <c r="L1444" s="51"/>
      <c r="P1444" s="51"/>
      <c r="T1444" s="51"/>
      <c r="V1444" s="51"/>
      <c r="X1444" s="51"/>
    </row>
    <row r="1445" spans="6:24">
      <c r="F1445" s="51"/>
      <c r="H1445" s="51"/>
      <c r="L1445" s="51"/>
      <c r="P1445" s="51"/>
      <c r="T1445" s="51"/>
      <c r="V1445" s="51"/>
      <c r="X1445" s="51"/>
    </row>
    <row r="1446" spans="6:24">
      <c r="F1446" s="51"/>
      <c r="H1446" s="51"/>
      <c r="L1446" s="51"/>
      <c r="P1446" s="51"/>
      <c r="T1446" s="51"/>
      <c r="V1446" s="51"/>
      <c r="X1446" s="51"/>
    </row>
    <row r="1447" spans="6:24">
      <c r="F1447" s="51"/>
      <c r="H1447" s="51"/>
      <c r="L1447" s="51"/>
      <c r="P1447" s="51"/>
      <c r="T1447" s="51"/>
      <c r="V1447" s="51"/>
      <c r="X1447" s="51"/>
    </row>
    <row r="1448" spans="6:24">
      <c r="F1448" s="51"/>
      <c r="H1448" s="51"/>
      <c r="L1448" s="51"/>
      <c r="P1448" s="51"/>
      <c r="T1448" s="51"/>
      <c r="V1448" s="51"/>
      <c r="X1448" s="51"/>
    </row>
    <row r="1449" spans="6:24">
      <c r="F1449" s="51"/>
      <c r="H1449" s="51"/>
      <c r="L1449" s="51"/>
      <c r="P1449" s="51"/>
      <c r="T1449" s="51"/>
      <c r="V1449" s="51"/>
      <c r="X1449" s="51"/>
    </row>
    <row r="1450" spans="6:24">
      <c r="F1450" s="51"/>
      <c r="H1450" s="51"/>
      <c r="L1450" s="51"/>
      <c r="P1450" s="51"/>
      <c r="T1450" s="51"/>
      <c r="V1450" s="51"/>
      <c r="X1450" s="51"/>
    </row>
    <row r="1451" spans="6:24">
      <c r="F1451" s="51"/>
      <c r="H1451" s="51"/>
      <c r="L1451" s="51"/>
      <c r="P1451" s="51"/>
      <c r="T1451" s="51"/>
      <c r="V1451" s="51"/>
      <c r="X1451" s="51"/>
    </row>
    <row r="1452" spans="6:24">
      <c r="F1452" s="51"/>
      <c r="H1452" s="51"/>
      <c r="L1452" s="51"/>
      <c r="P1452" s="51"/>
      <c r="T1452" s="51"/>
      <c r="V1452" s="51"/>
      <c r="X1452" s="51"/>
    </row>
    <row r="1453" spans="6:24">
      <c r="F1453" s="51"/>
      <c r="H1453" s="51"/>
      <c r="L1453" s="51"/>
      <c r="P1453" s="51"/>
      <c r="T1453" s="51"/>
      <c r="V1453" s="51"/>
      <c r="X1453" s="51"/>
    </row>
    <row r="1454" spans="6:24">
      <c r="F1454" s="51"/>
      <c r="H1454" s="51"/>
      <c r="L1454" s="51"/>
      <c r="P1454" s="51"/>
      <c r="T1454" s="51"/>
      <c r="V1454" s="51"/>
      <c r="X1454" s="51"/>
    </row>
    <row r="1455" spans="6:24">
      <c r="F1455" s="51"/>
      <c r="H1455" s="51"/>
      <c r="L1455" s="51"/>
      <c r="P1455" s="51"/>
      <c r="T1455" s="51"/>
      <c r="V1455" s="51"/>
      <c r="X1455" s="51"/>
    </row>
    <row r="1456" spans="6:24">
      <c r="F1456" s="51"/>
      <c r="H1456" s="51"/>
      <c r="L1456" s="51"/>
      <c r="P1456" s="51"/>
      <c r="T1456" s="51"/>
      <c r="V1456" s="51"/>
      <c r="X1456" s="51"/>
    </row>
    <row r="1457" spans="6:24">
      <c r="F1457" s="51"/>
      <c r="H1457" s="51"/>
      <c r="L1457" s="51"/>
      <c r="P1457" s="51"/>
      <c r="T1457" s="51"/>
      <c r="V1457" s="51"/>
      <c r="X1457" s="51"/>
    </row>
    <row r="1458" spans="6:24">
      <c r="F1458" s="51"/>
      <c r="H1458" s="51"/>
      <c r="L1458" s="51"/>
      <c r="P1458" s="51"/>
      <c r="T1458" s="51"/>
      <c r="V1458" s="51"/>
      <c r="X1458" s="51"/>
    </row>
    <row r="1459" spans="6:24">
      <c r="F1459" s="51"/>
      <c r="H1459" s="51"/>
      <c r="L1459" s="51"/>
      <c r="P1459" s="51"/>
      <c r="T1459" s="51"/>
      <c r="V1459" s="51"/>
      <c r="X1459" s="51"/>
    </row>
    <row r="1460" spans="6:24">
      <c r="F1460" s="51"/>
      <c r="H1460" s="51"/>
      <c r="L1460" s="51"/>
      <c r="P1460" s="51"/>
      <c r="T1460" s="51"/>
      <c r="V1460" s="51"/>
      <c r="X1460" s="51"/>
    </row>
    <row r="1461" spans="6:24">
      <c r="F1461" s="51"/>
      <c r="H1461" s="51"/>
      <c r="L1461" s="51"/>
      <c r="P1461" s="51"/>
      <c r="T1461" s="51"/>
      <c r="V1461" s="51"/>
      <c r="X1461" s="51"/>
    </row>
    <row r="1462" spans="6:24">
      <c r="F1462" s="51"/>
      <c r="H1462" s="51"/>
      <c r="L1462" s="51"/>
      <c r="P1462" s="51"/>
      <c r="T1462" s="51"/>
      <c r="V1462" s="51"/>
      <c r="X1462" s="51"/>
    </row>
    <row r="1463" spans="6:24">
      <c r="F1463" s="51"/>
      <c r="H1463" s="51"/>
      <c r="L1463" s="51"/>
      <c r="P1463" s="51"/>
      <c r="T1463" s="51"/>
      <c r="V1463" s="51"/>
      <c r="X1463" s="51"/>
    </row>
    <row r="1464" spans="6:24">
      <c r="F1464" s="51"/>
      <c r="H1464" s="51"/>
      <c r="L1464" s="51"/>
      <c r="P1464" s="51"/>
      <c r="T1464" s="51"/>
      <c r="V1464" s="51"/>
      <c r="X1464" s="51"/>
    </row>
    <row r="1465" spans="6:24">
      <c r="F1465" s="51"/>
      <c r="H1465" s="51"/>
      <c r="L1465" s="51"/>
      <c r="P1465" s="51"/>
      <c r="T1465" s="51"/>
      <c r="V1465" s="51"/>
      <c r="X1465" s="51"/>
    </row>
    <row r="1466" spans="6:24">
      <c r="F1466" s="51"/>
      <c r="H1466" s="51"/>
      <c r="L1466" s="51"/>
      <c r="P1466" s="51"/>
      <c r="T1466" s="51"/>
      <c r="V1466" s="51"/>
      <c r="X1466" s="51"/>
    </row>
    <row r="1467" spans="6:24">
      <c r="F1467" s="51"/>
      <c r="H1467" s="51"/>
      <c r="L1467" s="51"/>
      <c r="P1467" s="51"/>
      <c r="T1467" s="51"/>
      <c r="V1467" s="51"/>
      <c r="X1467" s="51"/>
    </row>
    <row r="1468" spans="6:24">
      <c r="F1468" s="51"/>
      <c r="H1468" s="51"/>
      <c r="L1468" s="51"/>
      <c r="P1468" s="51"/>
      <c r="T1468" s="51"/>
      <c r="V1468" s="51"/>
      <c r="X1468" s="51"/>
    </row>
    <row r="1469" spans="6:24">
      <c r="F1469" s="51"/>
      <c r="H1469" s="51"/>
      <c r="L1469" s="51"/>
      <c r="P1469" s="51"/>
      <c r="T1469" s="51"/>
      <c r="V1469" s="51"/>
      <c r="X1469" s="51"/>
    </row>
    <row r="1470" spans="6:24">
      <c r="F1470" s="51"/>
      <c r="H1470" s="51"/>
      <c r="L1470" s="51"/>
      <c r="P1470" s="51"/>
      <c r="T1470" s="51"/>
      <c r="V1470" s="51"/>
      <c r="X1470" s="51"/>
    </row>
    <row r="1471" spans="6:24">
      <c r="F1471" s="51"/>
      <c r="H1471" s="51"/>
      <c r="L1471" s="51"/>
      <c r="P1471" s="51"/>
      <c r="T1471" s="51"/>
      <c r="V1471" s="51"/>
      <c r="X1471" s="51"/>
    </row>
    <row r="1472" spans="6:24">
      <c r="F1472" s="51"/>
      <c r="H1472" s="51"/>
      <c r="L1472" s="51"/>
      <c r="P1472" s="51"/>
      <c r="T1472" s="51"/>
      <c r="V1472" s="51"/>
      <c r="X1472" s="51"/>
    </row>
    <row r="1473" spans="6:24">
      <c r="F1473" s="51"/>
      <c r="H1473" s="51"/>
      <c r="L1473" s="51"/>
      <c r="P1473" s="51"/>
      <c r="T1473" s="51"/>
      <c r="V1473" s="51"/>
      <c r="X1473" s="51"/>
    </row>
    <row r="1474" spans="6:24">
      <c r="F1474" s="51"/>
      <c r="H1474" s="51"/>
      <c r="L1474" s="51"/>
      <c r="P1474" s="51"/>
      <c r="T1474" s="51"/>
      <c r="V1474" s="51"/>
      <c r="X1474" s="51"/>
    </row>
    <row r="1475" spans="6:24">
      <c r="F1475" s="51"/>
      <c r="H1475" s="51"/>
      <c r="L1475" s="51"/>
      <c r="P1475" s="51"/>
      <c r="T1475" s="51"/>
      <c r="V1475" s="51"/>
      <c r="X1475" s="51"/>
    </row>
    <row r="1476" spans="6:24">
      <c r="F1476" s="51"/>
      <c r="H1476" s="51"/>
      <c r="L1476" s="51"/>
      <c r="P1476" s="51"/>
      <c r="T1476" s="51"/>
      <c r="V1476" s="51"/>
      <c r="X1476" s="51"/>
    </row>
    <row r="1477" spans="6:24">
      <c r="F1477" s="51"/>
      <c r="H1477" s="51"/>
      <c r="L1477" s="51"/>
      <c r="P1477" s="51"/>
      <c r="T1477" s="51"/>
      <c r="V1477" s="51"/>
      <c r="X1477" s="51"/>
    </row>
    <row r="1478" spans="6:24">
      <c r="F1478" s="51"/>
      <c r="H1478" s="51"/>
      <c r="L1478" s="51"/>
      <c r="P1478" s="51"/>
      <c r="T1478" s="51"/>
      <c r="V1478" s="51"/>
      <c r="X1478" s="51"/>
    </row>
    <row r="1479" spans="6:24">
      <c r="F1479" s="51"/>
      <c r="H1479" s="51"/>
      <c r="L1479" s="51"/>
      <c r="P1479" s="51"/>
      <c r="T1479" s="51"/>
      <c r="V1479" s="51"/>
      <c r="X1479" s="51"/>
    </row>
    <row r="1480" spans="6:24">
      <c r="F1480" s="51"/>
      <c r="H1480" s="51"/>
      <c r="L1480" s="51"/>
      <c r="P1480" s="51"/>
      <c r="T1480" s="51"/>
      <c r="V1480" s="51"/>
      <c r="X1480" s="51"/>
    </row>
    <row r="1481" spans="6:24">
      <c r="F1481" s="51"/>
      <c r="H1481" s="51"/>
      <c r="L1481" s="51"/>
      <c r="P1481" s="51"/>
      <c r="T1481" s="51"/>
      <c r="V1481" s="51"/>
      <c r="X1481" s="51"/>
    </row>
    <row r="1482" spans="6:24">
      <c r="F1482" s="51"/>
      <c r="H1482" s="51"/>
      <c r="L1482" s="51"/>
      <c r="P1482" s="51"/>
      <c r="T1482" s="51"/>
      <c r="V1482" s="51"/>
      <c r="X1482" s="51"/>
    </row>
    <row r="1483" spans="6:24">
      <c r="F1483" s="51"/>
      <c r="H1483" s="51"/>
      <c r="L1483" s="51"/>
      <c r="P1483" s="51"/>
      <c r="T1483" s="51"/>
      <c r="V1483" s="51"/>
      <c r="X1483" s="51"/>
    </row>
    <row r="1484" spans="6:24">
      <c r="F1484" s="51"/>
      <c r="H1484" s="51"/>
      <c r="L1484" s="51"/>
      <c r="P1484" s="51"/>
      <c r="T1484" s="51"/>
      <c r="V1484" s="51"/>
      <c r="X1484" s="51"/>
    </row>
    <row r="1485" spans="6:24">
      <c r="F1485" s="51"/>
      <c r="H1485" s="51"/>
      <c r="L1485" s="51"/>
      <c r="P1485" s="51"/>
      <c r="T1485" s="51"/>
      <c r="V1485" s="51"/>
      <c r="X1485" s="51"/>
    </row>
    <row r="1486" spans="6:24">
      <c r="F1486" s="51"/>
      <c r="H1486" s="51"/>
      <c r="L1486" s="51"/>
      <c r="P1486" s="51"/>
      <c r="T1486" s="51"/>
      <c r="V1486" s="51"/>
      <c r="X1486" s="51"/>
    </row>
    <row r="1487" spans="6:24">
      <c r="F1487" s="51"/>
      <c r="H1487" s="51"/>
      <c r="L1487" s="51"/>
      <c r="P1487" s="51"/>
      <c r="T1487" s="51"/>
      <c r="V1487" s="51"/>
      <c r="X1487" s="51"/>
    </row>
    <row r="1488" spans="6:24">
      <c r="F1488" s="51"/>
      <c r="H1488" s="51"/>
      <c r="L1488" s="51"/>
      <c r="P1488" s="51"/>
      <c r="T1488" s="51"/>
      <c r="V1488" s="51"/>
      <c r="X1488" s="51"/>
    </row>
    <row r="1489" spans="6:24">
      <c r="F1489" s="51"/>
      <c r="H1489" s="51"/>
      <c r="L1489" s="51"/>
      <c r="P1489" s="51"/>
      <c r="T1489" s="51"/>
      <c r="V1489" s="51"/>
      <c r="X1489" s="51"/>
    </row>
    <row r="1490" spans="6:24">
      <c r="F1490" s="51"/>
      <c r="H1490" s="51"/>
      <c r="L1490" s="51"/>
      <c r="P1490" s="51"/>
      <c r="T1490" s="51"/>
      <c r="V1490" s="51"/>
      <c r="X1490" s="51"/>
    </row>
    <row r="1491" spans="6:24">
      <c r="F1491" s="51"/>
      <c r="H1491" s="51"/>
      <c r="L1491" s="51"/>
      <c r="P1491" s="51"/>
      <c r="T1491" s="51"/>
      <c r="V1491" s="51"/>
      <c r="X1491" s="51"/>
    </row>
    <row r="1492" spans="6:24">
      <c r="F1492" s="51"/>
      <c r="H1492" s="51"/>
      <c r="L1492" s="51"/>
      <c r="P1492" s="51"/>
      <c r="T1492" s="51"/>
      <c r="V1492" s="51"/>
      <c r="X1492" s="51"/>
    </row>
    <row r="1493" spans="6:24">
      <c r="F1493" s="51"/>
      <c r="H1493" s="51"/>
      <c r="L1493" s="51"/>
      <c r="P1493" s="51"/>
      <c r="T1493" s="51"/>
      <c r="V1493" s="51"/>
      <c r="X1493" s="51"/>
    </row>
    <row r="1494" spans="6:24">
      <c r="F1494" s="51"/>
      <c r="H1494" s="51"/>
      <c r="L1494" s="51"/>
      <c r="P1494" s="51"/>
      <c r="T1494" s="51"/>
      <c r="V1494" s="51"/>
      <c r="X1494" s="51"/>
    </row>
    <row r="1495" spans="6:24">
      <c r="F1495" s="51"/>
      <c r="H1495" s="51"/>
      <c r="L1495" s="51"/>
      <c r="P1495" s="51"/>
      <c r="T1495" s="51"/>
      <c r="V1495" s="51"/>
      <c r="X1495" s="51"/>
    </row>
    <row r="1496" spans="6:24">
      <c r="F1496" s="51"/>
      <c r="H1496" s="51"/>
      <c r="L1496" s="51"/>
      <c r="P1496" s="51"/>
      <c r="T1496" s="51"/>
      <c r="V1496" s="51"/>
      <c r="X1496" s="51"/>
    </row>
    <row r="1497" spans="6:24">
      <c r="F1497" s="51"/>
      <c r="H1497" s="51"/>
      <c r="L1497" s="51"/>
      <c r="P1497" s="51"/>
      <c r="T1497" s="51"/>
      <c r="V1497" s="51"/>
      <c r="X1497" s="51"/>
    </row>
    <row r="1498" spans="6:24">
      <c r="F1498" s="51"/>
      <c r="H1498" s="51"/>
      <c r="L1498" s="51"/>
      <c r="P1498" s="51"/>
      <c r="T1498" s="51"/>
      <c r="V1498" s="51"/>
      <c r="X1498" s="51"/>
    </row>
    <row r="1499" spans="6:24">
      <c r="F1499" s="51"/>
      <c r="H1499" s="51"/>
      <c r="L1499" s="51"/>
      <c r="P1499" s="51"/>
      <c r="T1499" s="51"/>
      <c r="V1499" s="51"/>
      <c r="X1499" s="51"/>
    </row>
    <row r="1500" spans="6:24">
      <c r="F1500" s="51"/>
      <c r="H1500" s="51"/>
      <c r="L1500" s="51"/>
      <c r="P1500" s="51"/>
      <c r="T1500" s="51"/>
      <c r="V1500" s="51"/>
      <c r="X1500" s="51"/>
    </row>
    <row r="1501" spans="6:24">
      <c r="F1501" s="51"/>
      <c r="H1501" s="51"/>
      <c r="L1501" s="51"/>
      <c r="P1501" s="51"/>
      <c r="T1501" s="51"/>
      <c r="V1501" s="51"/>
      <c r="X1501" s="51"/>
    </row>
    <row r="1502" spans="6:24">
      <c r="F1502" s="51"/>
      <c r="H1502" s="51"/>
      <c r="L1502" s="51"/>
      <c r="P1502" s="51"/>
      <c r="T1502" s="51"/>
      <c r="V1502" s="51"/>
      <c r="X1502" s="51"/>
    </row>
    <row r="1503" spans="6:24">
      <c r="F1503" s="51"/>
      <c r="H1503" s="51"/>
      <c r="L1503" s="51"/>
      <c r="P1503" s="51"/>
      <c r="T1503" s="51"/>
      <c r="V1503" s="51"/>
      <c r="X1503" s="51"/>
    </row>
    <row r="1504" spans="6:24">
      <c r="F1504" s="51"/>
      <c r="H1504" s="51"/>
      <c r="L1504" s="51"/>
      <c r="P1504" s="51"/>
      <c r="T1504" s="51"/>
      <c r="V1504" s="51"/>
      <c r="X1504" s="51"/>
    </row>
    <row r="1505" spans="6:24">
      <c r="F1505" s="51"/>
      <c r="H1505" s="51"/>
      <c r="L1505" s="51"/>
      <c r="P1505" s="51"/>
      <c r="T1505" s="51"/>
      <c r="V1505" s="51"/>
      <c r="X1505" s="51"/>
    </row>
    <row r="1506" spans="6:24">
      <c r="F1506" s="51"/>
      <c r="H1506" s="51"/>
      <c r="L1506" s="51"/>
      <c r="P1506" s="51"/>
      <c r="T1506" s="51"/>
      <c r="V1506" s="51"/>
      <c r="X1506" s="51"/>
    </row>
    <row r="1507" spans="6:24">
      <c r="F1507" s="51"/>
      <c r="H1507" s="51"/>
      <c r="L1507" s="51"/>
      <c r="P1507" s="51"/>
      <c r="T1507" s="51"/>
      <c r="V1507" s="51"/>
      <c r="X1507" s="51"/>
    </row>
    <row r="1508" spans="6:24">
      <c r="F1508" s="51"/>
      <c r="H1508" s="51"/>
      <c r="L1508" s="51"/>
      <c r="P1508" s="51"/>
      <c r="T1508" s="51"/>
      <c r="V1508" s="51"/>
      <c r="X1508" s="51"/>
    </row>
    <row r="1509" spans="6:24">
      <c r="F1509" s="51"/>
      <c r="H1509" s="51"/>
      <c r="L1509" s="51"/>
      <c r="P1509" s="51"/>
      <c r="T1509" s="51"/>
      <c r="V1509" s="51"/>
      <c r="X1509" s="51"/>
    </row>
    <row r="1510" spans="6:24">
      <c r="F1510" s="51"/>
      <c r="H1510" s="51"/>
      <c r="L1510" s="51"/>
      <c r="P1510" s="51"/>
      <c r="T1510" s="51"/>
      <c r="V1510" s="51"/>
      <c r="X1510" s="51"/>
    </row>
    <row r="1511" spans="6:24">
      <c r="F1511" s="51"/>
      <c r="H1511" s="51"/>
      <c r="L1511" s="51"/>
      <c r="P1511" s="51"/>
      <c r="T1511" s="51"/>
      <c r="V1511" s="51"/>
      <c r="X1511" s="51"/>
    </row>
    <row r="1512" spans="6:24">
      <c r="F1512" s="51"/>
      <c r="H1512" s="51"/>
      <c r="L1512" s="51"/>
      <c r="P1512" s="51"/>
      <c r="T1512" s="51"/>
      <c r="V1512" s="51"/>
      <c r="X1512" s="51"/>
    </row>
    <row r="1513" spans="6:24">
      <c r="F1513" s="51"/>
      <c r="H1513" s="51"/>
      <c r="L1513" s="51"/>
      <c r="P1513" s="51"/>
      <c r="T1513" s="51"/>
      <c r="V1513" s="51"/>
      <c r="X1513" s="51"/>
    </row>
    <row r="1514" spans="6:24">
      <c r="F1514" s="51"/>
      <c r="H1514" s="51"/>
      <c r="L1514" s="51"/>
      <c r="P1514" s="51"/>
      <c r="T1514" s="51"/>
      <c r="V1514" s="51"/>
      <c r="X1514" s="51"/>
    </row>
    <row r="1515" spans="6:24">
      <c r="F1515" s="51"/>
      <c r="H1515" s="51"/>
      <c r="L1515" s="51"/>
      <c r="P1515" s="51"/>
      <c r="T1515" s="51"/>
      <c r="V1515" s="51"/>
      <c r="X1515" s="51"/>
    </row>
    <row r="1516" spans="6:24">
      <c r="F1516" s="51"/>
      <c r="H1516" s="51"/>
      <c r="L1516" s="51"/>
      <c r="P1516" s="51"/>
      <c r="T1516" s="51"/>
      <c r="V1516" s="51"/>
      <c r="X1516" s="51"/>
    </row>
    <row r="1517" spans="6:24">
      <c r="F1517" s="51"/>
      <c r="H1517" s="51"/>
      <c r="L1517" s="51"/>
      <c r="P1517" s="51"/>
      <c r="T1517" s="51"/>
      <c r="V1517" s="51"/>
      <c r="X1517" s="51"/>
    </row>
    <row r="1518" spans="6:24">
      <c r="F1518" s="51"/>
      <c r="H1518" s="51"/>
      <c r="L1518" s="51"/>
      <c r="P1518" s="51"/>
      <c r="T1518" s="51"/>
      <c r="V1518" s="51"/>
      <c r="X1518" s="51"/>
    </row>
    <row r="1519" spans="6:24">
      <c r="F1519" s="51"/>
      <c r="H1519" s="51"/>
      <c r="L1519" s="51"/>
      <c r="P1519" s="51"/>
      <c r="T1519" s="51"/>
      <c r="V1519" s="51"/>
      <c r="X1519" s="51"/>
    </row>
    <row r="1520" spans="6:24">
      <c r="F1520" s="51"/>
      <c r="H1520" s="51"/>
      <c r="L1520" s="51"/>
      <c r="P1520" s="51"/>
      <c r="T1520" s="51"/>
      <c r="V1520" s="51"/>
      <c r="X1520" s="51"/>
    </row>
    <row r="1521" spans="6:24">
      <c r="F1521" s="51"/>
      <c r="H1521" s="51"/>
      <c r="L1521" s="51"/>
      <c r="P1521" s="51"/>
      <c r="T1521" s="51"/>
      <c r="V1521" s="51"/>
      <c r="X1521" s="51"/>
    </row>
    <row r="1522" spans="6:24">
      <c r="F1522" s="51"/>
      <c r="H1522" s="51"/>
      <c r="L1522" s="51"/>
      <c r="P1522" s="51"/>
      <c r="T1522" s="51"/>
      <c r="V1522" s="51"/>
      <c r="X1522" s="51"/>
    </row>
    <row r="1523" spans="6:24">
      <c r="F1523" s="51"/>
      <c r="H1523" s="51"/>
      <c r="L1523" s="51"/>
      <c r="P1523" s="51"/>
      <c r="T1523" s="51"/>
      <c r="V1523" s="51"/>
      <c r="X1523" s="51"/>
    </row>
    <row r="1524" spans="6:24">
      <c r="F1524" s="51"/>
      <c r="H1524" s="51"/>
      <c r="L1524" s="51"/>
      <c r="P1524" s="51"/>
      <c r="T1524" s="51"/>
      <c r="V1524" s="51"/>
      <c r="X1524" s="51"/>
    </row>
    <row r="1525" spans="6:24">
      <c r="F1525" s="51"/>
      <c r="H1525" s="51"/>
      <c r="L1525" s="51"/>
      <c r="P1525" s="51"/>
      <c r="T1525" s="51"/>
      <c r="V1525" s="51"/>
      <c r="X1525" s="51"/>
    </row>
    <row r="1526" spans="6:24">
      <c r="F1526" s="51"/>
      <c r="H1526" s="51"/>
      <c r="L1526" s="51"/>
      <c r="P1526" s="51"/>
      <c r="T1526" s="51"/>
      <c r="V1526" s="51"/>
      <c r="X1526" s="51"/>
    </row>
    <row r="1527" spans="6:24">
      <c r="F1527" s="51"/>
      <c r="H1527" s="51"/>
      <c r="L1527" s="51"/>
      <c r="P1527" s="51"/>
      <c r="T1527" s="51"/>
      <c r="V1527" s="51"/>
      <c r="X1527" s="51"/>
    </row>
    <row r="1528" spans="6:24">
      <c r="F1528" s="51"/>
      <c r="H1528" s="51"/>
      <c r="L1528" s="51"/>
      <c r="P1528" s="51"/>
      <c r="T1528" s="51"/>
      <c r="V1528" s="51"/>
      <c r="X1528" s="51"/>
    </row>
    <row r="1529" spans="6:24">
      <c r="F1529" s="51"/>
      <c r="H1529" s="51"/>
      <c r="L1529" s="51"/>
      <c r="P1529" s="51"/>
      <c r="T1529" s="51"/>
      <c r="V1529" s="51"/>
      <c r="X1529" s="51"/>
    </row>
    <row r="1530" spans="6:24">
      <c r="F1530" s="51"/>
      <c r="H1530" s="51"/>
      <c r="L1530" s="51"/>
      <c r="P1530" s="51"/>
      <c r="T1530" s="51"/>
      <c r="V1530" s="51"/>
      <c r="X1530" s="51"/>
    </row>
    <row r="1531" spans="6:24">
      <c r="F1531" s="51"/>
      <c r="H1531" s="51"/>
      <c r="L1531" s="51"/>
      <c r="P1531" s="51"/>
      <c r="T1531" s="51"/>
      <c r="V1531" s="51"/>
      <c r="X1531" s="51"/>
    </row>
    <row r="1532" spans="6:24">
      <c r="F1532" s="51"/>
      <c r="H1532" s="51"/>
      <c r="L1532" s="51"/>
      <c r="P1532" s="51"/>
      <c r="T1532" s="51"/>
      <c r="V1532" s="51"/>
      <c r="X1532" s="51"/>
    </row>
    <row r="1533" spans="6:24">
      <c r="F1533" s="51"/>
      <c r="H1533" s="51"/>
      <c r="L1533" s="51"/>
      <c r="P1533" s="51"/>
      <c r="T1533" s="51"/>
      <c r="V1533" s="51"/>
      <c r="X1533" s="51"/>
    </row>
    <row r="1534" spans="6:24">
      <c r="F1534" s="51"/>
      <c r="H1534" s="51"/>
      <c r="L1534" s="51"/>
      <c r="P1534" s="51"/>
      <c r="T1534" s="51"/>
      <c r="V1534" s="51"/>
      <c r="X1534" s="51"/>
    </row>
    <row r="1535" spans="6:24">
      <c r="F1535" s="51"/>
      <c r="H1535" s="51"/>
      <c r="L1535" s="51"/>
      <c r="P1535" s="51"/>
      <c r="T1535" s="51"/>
      <c r="V1535" s="51"/>
      <c r="X1535" s="51"/>
    </row>
    <row r="1536" spans="6:24">
      <c r="F1536" s="51"/>
      <c r="H1536" s="51"/>
      <c r="L1536" s="51"/>
      <c r="P1536" s="51"/>
      <c r="T1536" s="51"/>
      <c r="V1536" s="51"/>
      <c r="X1536" s="51"/>
    </row>
    <row r="1537" spans="6:24">
      <c r="F1537" s="51"/>
      <c r="H1537" s="51"/>
      <c r="L1537" s="51"/>
      <c r="P1537" s="51"/>
      <c r="T1537" s="51"/>
      <c r="V1537" s="51"/>
      <c r="X1537" s="51"/>
    </row>
    <row r="1538" spans="6:24">
      <c r="F1538" s="51"/>
      <c r="H1538" s="51"/>
      <c r="L1538" s="51"/>
      <c r="P1538" s="51"/>
      <c r="T1538" s="51"/>
      <c r="V1538" s="51"/>
      <c r="X1538" s="51"/>
    </row>
    <row r="1539" spans="6:24">
      <c r="F1539" s="51"/>
      <c r="H1539" s="51"/>
      <c r="L1539" s="51"/>
      <c r="P1539" s="51"/>
      <c r="T1539" s="51"/>
      <c r="V1539" s="51"/>
      <c r="X1539" s="51"/>
    </row>
    <row r="1540" spans="6:24">
      <c r="F1540" s="51"/>
      <c r="H1540" s="51"/>
      <c r="L1540" s="51"/>
      <c r="P1540" s="51"/>
      <c r="T1540" s="51"/>
      <c r="V1540" s="51"/>
      <c r="X1540" s="51"/>
    </row>
    <row r="1541" spans="6:24">
      <c r="F1541" s="51"/>
      <c r="H1541" s="51"/>
      <c r="L1541" s="51"/>
      <c r="P1541" s="51"/>
      <c r="T1541" s="51"/>
      <c r="V1541" s="51"/>
      <c r="X1541" s="51"/>
    </row>
    <row r="1542" spans="6:24">
      <c r="F1542" s="51"/>
      <c r="H1542" s="51"/>
      <c r="L1542" s="51"/>
      <c r="P1542" s="51"/>
      <c r="T1542" s="51"/>
      <c r="V1542" s="51"/>
      <c r="X1542" s="51"/>
    </row>
    <row r="1543" spans="6:24">
      <c r="F1543" s="51"/>
      <c r="H1543" s="51"/>
      <c r="L1543" s="51"/>
      <c r="P1543" s="51"/>
      <c r="T1543" s="51"/>
      <c r="V1543" s="51"/>
      <c r="X1543" s="51"/>
    </row>
    <row r="1544" spans="6:24">
      <c r="F1544" s="51"/>
      <c r="H1544" s="51"/>
      <c r="L1544" s="51"/>
      <c r="P1544" s="51"/>
      <c r="T1544" s="51"/>
      <c r="V1544" s="51"/>
      <c r="X1544" s="51"/>
    </row>
    <row r="1545" spans="6:24">
      <c r="F1545" s="51"/>
      <c r="H1545" s="51"/>
      <c r="L1545" s="51"/>
      <c r="P1545" s="51"/>
      <c r="T1545" s="51"/>
      <c r="V1545" s="51"/>
      <c r="X1545" s="51"/>
    </row>
    <row r="1546" spans="6:24">
      <c r="F1546" s="51"/>
      <c r="H1546" s="51"/>
      <c r="L1546" s="51"/>
      <c r="P1546" s="51"/>
      <c r="T1546" s="51"/>
      <c r="V1546" s="51"/>
      <c r="X1546" s="51"/>
    </row>
    <row r="1547" spans="6:24">
      <c r="F1547" s="51"/>
      <c r="H1547" s="51"/>
      <c r="L1547" s="51"/>
      <c r="P1547" s="51"/>
      <c r="T1547" s="51"/>
      <c r="V1547" s="51"/>
      <c r="X1547" s="51"/>
    </row>
    <row r="1548" spans="6:24">
      <c r="F1548" s="51"/>
      <c r="H1548" s="51"/>
      <c r="L1548" s="51"/>
      <c r="P1548" s="51"/>
      <c r="T1548" s="51"/>
      <c r="V1548" s="51"/>
      <c r="X1548" s="51"/>
    </row>
    <row r="1549" spans="6:24">
      <c r="F1549" s="51"/>
      <c r="H1549" s="51"/>
      <c r="L1549" s="51"/>
      <c r="P1549" s="51"/>
      <c r="T1549" s="51"/>
      <c r="V1549" s="51"/>
      <c r="X1549" s="51"/>
    </row>
    <row r="1550" spans="6:24">
      <c r="F1550" s="51"/>
      <c r="H1550" s="51"/>
      <c r="L1550" s="51"/>
      <c r="P1550" s="51"/>
      <c r="T1550" s="51"/>
      <c r="V1550" s="51"/>
      <c r="X1550" s="51"/>
    </row>
    <row r="1551" spans="6:24">
      <c r="F1551" s="51"/>
      <c r="H1551" s="51"/>
      <c r="L1551" s="51"/>
      <c r="P1551" s="51"/>
      <c r="T1551" s="51"/>
      <c r="V1551" s="51"/>
      <c r="X1551" s="51"/>
    </row>
    <row r="1552" spans="6:24">
      <c r="F1552" s="51"/>
      <c r="H1552" s="51"/>
      <c r="L1552" s="51"/>
      <c r="P1552" s="51"/>
      <c r="T1552" s="51"/>
      <c r="V1552" s="51"/>
      <c r="X1552" s="51"/>
    </row>
    <row r="1553" spans="6:24">
      <c r="F1553" s="51"/>
      <c r="H1553" s="51"/>
      <c r="L1553" s="51"/>
      <c r="P1553" s="51"/>
      <c r="T1553" s="51"/>
      <c r="V1553" s="51"/>
      <c r="X1553" s="51"/>
    </row>
    <row r="1554" spans="6:24">
      <c r="F1554" s="51"/>
      <c r="H1554" s="51"/>
      <c r="L1554" s="51"/>
      <c r="P1554" s="51"/>
      <c r="T1554" s="51"/>
      <c r="V1554" s="51"/>
      <c r="X1554" s="51"/>
    </row>
    <row r="1555" spans="6:24">
      <c r="F1555" s="51"/>
      <c r="H1555" s="51"/>
      <c r="L1555" s="51"/>
      <c r="P1555" s="51"/>
      <c r="T1555" s="51"/>
      <c r="V1555" s="51"/>
      <c r="X1555" s="51"/>
    </row>
    <row r="1556" spans="6:24">
      <c r="F1556" s="51"/>
      <c r="H1556" s="51"/>
      <c r="L1556" s="51"/>
      <c r="P1556" s="51"/>
      <c r="T1556" s="51"/>
      <c r="V1556" s="51"/>
      <c r="X1556" s="51"/>
    </row>
    <row r="1557" spans="6:24">
      <c r="F1557" s="51"/>
      <c r="H1557" s="51"/>
      <c r="L1557" s="51"/>
      <c r="P1557" s="51"/>
      <c r="T1557" s="51"/>
      <c r="V1557" s="51"/>
      <c r="X1557" s="51"/>
    </row>
    <row r="1558" spans="6:24">
      <c r="F1558" s="51"/>
      <c r="H1558" s="51"/>
      <c r="L1558" s="51"/>
      <c r="P1558" s="51"/>
      <c r="T1558" s="51"/>
      <c r="V1558" s="51"/>
      <c r="X1558" s="51"/>
    </row>
    <row r="1559" spans="6:24">
      <c r="F1559" s="51"/>
      <c r="H1559" s="51"/>
      <c r="L1559" s="51"/>
      <c r="P1559" s="51"/>
      <c r="T1559" s="51"/>
      <c r="V1559" s="51"/>
      <c r="X1559" s="51"/>
    </row>
    <row r="1560" spans="6:24">
      <c r="F1560" s="51"/>
      <c r="H1560" s="51"/>
      <c r="L1560" s="51"/>
      <c r="P1560" s="51"/>
      <c r="T1560" s="51"/>
      <c r="V1560" s="51"/>
      <c r="X1560" s="51"/>
    </row>
    <row r="1561" spans="6:24">
      <c r="F1561" s="51"/>
      <c r="H1561" s="51"/>
      <c r="L1561" s="51"/>
      <c r="P1561" s="51"/>
      <c r="T1561" s="51"/>
      <c r="V1561" s="51"/>
      <c r="X1561" s="51"/>
    </row>
    <row r="1562" spans="6:24">
      <c r="F1562" s="51"/>
      <c r="H1562" s="51"/>
      <c r="L1562" s="51"/>
      <c r="P1562" s="51"/>
      <c r="T1562" s="51"/>
      <c r="V1562" s="51"/>
      <c r="X1562" s="51"/>
    </row>
    <row r="1563" spans="6:24">
      <c r="F1563" s="51"/>
      <c r="H1563" s="51"/>
      <c r="L1563" s="51"/>
      <c r="P1563" s="51"/>
      <c r="T1563" s="51"/>
      <c r="V1563" s="51"/>
      <c r="X1563" s="51"/>
    </row>
    <row r="1564" spans="6:24">
      <c r="F1564" s="51"/>
      <c r="H1564" s="51"/>
      <c r="L1564" s="51"/>
      <c r="P1564" s="51"/>
      <c r="T1564" s="51"/>
      <c r="V1564" s="51"/>
      <c r="X1564" s="51"/>
    </row>
    <row r="1565" spans="6:24">
      <c r="F1565" s="51"/>
      <c r="H1565" s="51"/>
      <c r="L1565" s="51"/>
      <c r="P1565" s="51"/>
      <c r="T1565" s="51"/>
      <c r="V1565" s="51"/>
      <c r="X1565" s="51"/>
    </row>
    <row r="1566" spans="6:24">
      <c r="F1566" s="51"/>
      <c r="H1566" s="51"/>
      <c r="L1566" s="51"/>
      <c r="P1566" s="51"/>
      <c r="T1566" s="51"/>
      <c r="V1566" s="51"/>
      <c r="X1566" s="51"/>
    </row>
    <row r="1567" spans="6:24">
      <c r="F1567" s="51"/>
      <c r="H1567" s="51"/>
      <c r="L1567" s="51"/>
      <c r="P1567" s="51"/>
      <c r="T1567" s="51"/>
      <c r="V1567" s="51"/>
      <c r="X1567" s="51"/>
    </row>
    <row r="1568" spans="6:24">
      <c r="F1568" s="51"/>
      <c r="H1568" s="51"/>
      <c r="L1568" s="51"/>
      <c r="P1568" s="51"/>
      <c r="T1568" s="51"/>
      <c r="V1568" s="51"/>
      <c r="X1568" s="51"/>
    </row>
    <row r="1569" spans="6:24">
      <c r="F1569" s="51"/>
      <c r="H1569" s="51"/>
      <c r="L1569" s="51"/>
      <c r="P1569" s="51"/>
      <c r="T1569" s="51"/>
      <c r="V1569" s="51"/>
      <c r="X1569" s="51"/>
    </row>
    <row r="1570" spans="6:24">
      <c r="F1570" s="51"/>
      <c r="H1570" s="51"/>
      <c r="L1570" s="51"/>
      <c r="P1570" s="51"/>
      <c r="T1570" s="51"/>
      <c r="V1570" s="51"/>
      <c r="X1570" s="51"/>
    </row>
    <row r="1571" spans="6:24">
      <c r="F1571" s="51"/>
      <c r="H1571" s="51"/>
      <c r="L1571" s="51"/>
      <c r="P1571" s="51"/>
      <c r="T1571" s="51"/>
      <c r="V1571" s="51"/>
      <c r="X1571" s="51"/>
    </row>
    <row r="1572" spans="6:24">
      <c r="F1572" s="51"/>
      <c r="H1572" s="51"/>
      <c r="L1572" s="51"/>
      <c r="P1572" s="51"/>
      <c r="T1572" s="51"/>
      <c r="V1572" s="51"/>
      <c r="X1572" s="51"/>
    </row>
    <row r="1573" spans="6:24">
      <c r="F1573" s="51"/>
      <c r="H1573" s="51"/>
      <c r="L1573" s="51"/>
      <c r="P1573" s="51"/>
      <c r="T1573" s="51"/>
      <c r="V1573" s="51"/>
      <c r="X1573" s="51"/>
    </row>
    <row r="1574" spans="6:24">
      <c r="F1574" s="51"/>
      <c r="H1574" s="51"/>
      <c r="L1574" s="51"/>
      <c r="P1574" s="51"/>
      <c r="T1574" s="51"/>
      <c r="V1574" s="51"/>
      <c r="X1574" s="51"/>
    </row>
    <row r="1575" spans="6:24">
      <c r="F1575" s="51"/>
      <c r="H1575" s="51"/>
      <c r="L1575" s="51"/>
      <c r="P1575" s="51"/>
      <c r="T1575" s="51"/>
      <c r="V1575" s="51"/>
      <c r="X1575" s="51"/>
    </row>
    <row r="1576" spans="6:24">
      <c r="F1576" s="51"/>
      <c r="H1576" s="51"/>
      <c r="L1576" s="51"/>
      <c r="P1576" s="51"/>
      <c r="T1576" s="51"/>
      <c r="V1576" s="51"/>
      <c r="X1576" s="51"/>
    </row>
    <row r="1577" spans="6:24">
      <c r="F1577" s="51"/>
      <c r="H1577" s="51"/>
      <c r="L1577" s="51"/>
      <c r="P1577" s="51"/>
      <c r="T1577" s="51"/>
      <c r="V1577" s="51"/>
      <c r="X1577" s="51"/>
    </row>
    <row r="1578" spans="6:24">
      <c r="F1578" s="51"/>
      <c r="H1578" s="51"/>
      <c r="L1578" s="51"/>
      <c r="P1578" s="51"/>
      <c r="T1578" s="51"/>
      <c r="V1578" s="51"/>
      <c r="X1578" s="51"/>
    </row>
    <row r="1579" spans="6:24">
      <c r="F1579" s="51"/>
      <c r="H1579" s="51"/>
      <c r="L1579" s="51"/>
      <c r="P1579" s="51"/>
      <c r="T1579" s="51"/>
      <c r="V1579" s="51"/>
      <c r="X1579" s="51"/>
    </row>
    <row r="1580" spans="6:24">
      <c r="F1580" s="51"/>
      <c r="H1580" s="51"/>
      <c r="L1580" s="51"/>
      <c r="P1580" s="51"/>
      <c r="T1580" s="51"/>
      <c r="V1580" s="51"/>
      <c r="X1580" s="51"/>
    </row>
    <row r="1581" spans="6:24">
      <c r="F1581" s="51"/>
      <c r="H1581" s="51"/>
      <c r="L1581" s="51"/>
      <c r="P1581" s="51"/>
      <c r="T1581" s="51"/>
      <c r="V1581" s="51"/>
      <c r="X1581" s="51"/>
    </row>
    <row r="1582" spans="6:24">
      <c r="F1582" s="51"/>
      <c r="H1582" s="51"/>
      <c r="L1582" s="51"/>
      <c r="P1582" s="51"/>
      <c r="T1582" s="51"/>
      <c r="V1582" s="51"/>
      <c r="X1582" s="51"/>
    </row>
    <row r="1583" spans="6:24">
      <c r="F1583" s="51"/>
      <c r="H1583" s="51"/>
      <c r="L1583" s="51"/>
      <c r="P1583" s="51"/>
      <c r="T1583" s="51"/>
      <c r="V1583" s="51"/>
      <c r="X1583" s="51"/>
    </row>
    <row r="1584" spans="6:24">
      <c r="F1584" s="51"/>
      <c r="H1584" s="51"/>
      <c r="L1584" s="51"/>
      <c r="P1584" s="51"/>
      <c r="T1584" s="51"/>
      <c r="V1584" s="51"/>
      <c r="X1584" s="51"/>
    </row>
    <row r="1585" spans="6:24">
      <c r="F1585" s="51"/>
      <c r="H1585" s="51"/>
      <c r="L1585" s="51"/>
      <c r="P1585" s="51"/>
      <c r="T1585" s="51"/>
      <c r="V1585" s="51"/>
      <c r="X1585" s="51"/>
    </row>
    <row r="1586" spans="6:24">
      <c r="F1586" s="51"/>
      <c r="H1586" s="51"/>
      <c r="L1586" s="51"/>
      <c r="P1586" s="51"/>
      <c r="T1586" s="51"/>
      <c r="V1586" s="51"/>
      <c r="X1586" s="51"/>
    </row>
    <row r="1587" spans="6:24">
      <c r="F1587" s="51"/>
      <c r="H1587" s="51"/>
      <c r="L1587" s="51"/>
      <c r="P1587" s="51"/>
      <c r="T1587" s="51"/>
      <c r="V1587" s="51"/>
      <c r="X1587" s="51"/>
    </row>
    <row r="1588" spans="6:24">
      <c r="F1588" s="51"/>
      <c r="H1588" s="51"/>
      <c r="L1588" s="51"/>
      <c r="P1588" s="51"/>
      <c r="T1588" s="51"/>
      <c r="V1588" s="51"/>
      <c r="X1588" s="51"/>
    </row>
    <row r="1589" spans="6:24">
      <c r="F1589" s="51"/>
      <c r="H1589" s="51"/>
      <c r="L1589" s="51"/>
      <c r="P1589" s="51"/>
      <c r="T1589" s="51"/>
      <c r="V1589" s="51"/>
      <c r="X1589" s="51"/>
    </row>
    <row r="1590" spans="6:24">
      <c r="F1590" s="51"/>
      <c r="H1590" s="51"/>
      <c r="L1590" s="51"/>
      <c r="P1590" s="51"/>
      <c r="T1590" s="51"/>
      <c r="V1590" s="51"/>
      <c r="X1590" s="51"/>
    </row>
    <row r="1591" spans="6:24">
      <c r="F1591" s="51"/>
      <c r="H1591" s="51"/>
      <c r="L1591" s="51"/>
      <c r="P1591" s="51"/>
      <c r="T1591" s="51"/>
      <c r="V1591" s="51"/>
      <c r="X1591" s="51"/>
    </row>
    <row r="1592" spans="6:24">
      <c r="F1592" s="51"/>
      <c r="H1592" s="51"/>
      <c r="L1592" s="51"/>
      <c r="P1592" s="51"/>
      <c r="T1592" s="51"/>
      <c r="V1592" s="51"/>
      <c r="X1592" s="51"/>
    </row>
    <row r="1593" spans="6:24">
      <c r="F1593" s="51"/>
      <c r="H1593" s="51"/>
      <c r="L1593" s="51"/>
      <c r="P1593" s="51"/>
      <c r="T1593" s="51"/>
      <c r="V1593" s="51"/>
      <c r="X1593" s="51"/>
    </row>
    <row r="1594" spans="6:24">
      <c r="F1594" s="51"/>
      <c r="H1594" s="51"/>
      <c r="L1594" s="51"/>
      <c r="P1594" s="51"/>
      <c r="T1594" s="51"/>
      <c r="V1594" s="51"/>
      <c r="X1594" s="51"/>
    </row>
    <row r="1595" spans="6:24">
      <c r="F1595" s="51"/>
      <c r="H1595" s="51"/>
      <c r="L1595" s="51"/>
      <c r="P1595" s="51"/>
      <c r="T1595" s="51"/>
      <c r="V1595" s="51"/>
      <c r="X1595" s="51"/>
    </row>
    <row r="1596" spans="6:24">
      <c r="F1596" s="51"/>
      <c r="H1596" s="51"/>
      <c r="L1596" s="51"/>
      <c r="P1596" s="51"/>
      <c r="T1596" s="51"/>
      <c r="V1596" s="51"/>
      <c r="X1596" s="51"/>
    </row>
    <row r="1597" spans="6:24">
      <c r="F1597" s="51"/>
      <c r="H1597" s="51"/>
      <c r="L1597" s="51"/>
      <c r="P1597" s="51"/>
      <c r="T1597" s="51"/>
      <c r="V1597" s="51"/>
      <c r="X1597" s="51"/>
    </row>
    <row r="1598" spans="6:24">
      <c r="F1598" s="51"/>
      <c r="H1598" s="51"/>
      <c r="L1598" s="51"/>
      <c r="P1598" s="51"/>
      <c r="T1598" s="51"/>
      <c r="V1598" s="51"/>
      <c r="X1598" s="51"/>
    </row>
    <row r="1599" spans="6:24">
      <c r="F1599" s="51"/>
      <c r="H1599" s="51"/>
      <c r="L1599" s="51"/>
      <c r="P1599" s="51"/>
      <c r="T1599" s="51"/>
      <c r="V1599" s="51"/>
      <c r="X1599" s="51"/>
    </row>
    <row r="1600" spans="6:24">
      <c r="F1600" s="51"/>
      <c r="H1600" s="51"/>
      <c r="L1600" s="51"/>
      <c r="P1600" s="51"/>
      <c r="T1600" s="51"/>
      <c r="V1600" s="51"/>
      <c r="X1600" s="51"/>
    </row>
    <row r="1601" spans="6:24">
      <c r="F1601" s="51"/>
      <c r="H1601" s="51"/>
      <c r="L1601" s="51"/>
      <c r="P1601" s="51"/>
      <c r="T1601" s="51"/>
      <c r="V1601" s="51"/>
      <c r="X1601" s="51"/>
    </row>
    <row r="1602" spans="6:24">
      <c r="F1602" s="51"/>
      <c r="H1602" s="51"/>
      <c r="L1602" s="51"/>
      <c r="P1602" s="51"/>
      <c r="T1602" s="51"/>
      <c r="V1602" s="51"/>
      <c r="X1602" s="51"/>
    </row>
    <row r="1603" spans="6:24">
      <c r="F1603" s="51"/>
      <c r="H1603" s="51"/>
      <c r="L1603" s="51"/>
      <c r="P1603" s="51"/>
      <c r="T1603" s="51"/>
      <c r="V1603" s="51"/>
      <c r="X1603" s="51"/>
    </row>
    <row r="1604" spans="6:24">
      <c r="F1604" s="51"/>
      <c r="H1604" s="51"/>
      <c r="L1604" s="51"/>
      <c r="P1604" s="51"/>
      <c r="T1604" s="51"/>
      <c r="V1604" s="51"/>
      <c r="X1604" s="51"/>
    </row>
    <row r="1605" spans="6:24">
      <c r="F1605" s="51"/>
      <c r="H1605" s="51"/>
      <c r="L1605" s="51"/>
      <c r="P1605" s="51"/>
      <c r="T1605" s="51"/>
      <c r="V1605" s="51"/>
      <c r="X1605" s="51"/>
    </row>
    <row r="1606" spans="6:24">
      <c r="F1606" s="51"/>
      <c r="H1606" s="51"/>
      <c r="L1606" s="51"/>
      <c r="P1606" s="51"/>
      <c r="T1606" s="51"/>
      <c r="V1606" s="51"/>
      <c r="X1606" s="51"/>
    </row>
    <row r="1607" spans="6:24">
      <c r="F1607" s="51"/>
      <c r="H1607" s="51"/>
      <c r="L1607" s="51"/>
      <c r="P1607" s="51"/>
      <c r="T1607" s="51"/>
      <c r="V1607" s="51"/>
      <c r="X1607" s="51"/>
    </row>
    <row r="1608" spans="6:24">
      <c r="F1608" s="51"/>
      <c r="H1608" s="51"/>
      <c r="L1608" s="51"/>
      <c r="P1608" s="51"/>
      <c r="T1608" s="51"/>
      <c r="V1608" s="51"/>
      <c r="X1608" s="51"/>
    </row>
    <row r="1609" spans="6:24">
      <c r="F1609" s="51"/>
      <c r="H1609" s="51"/>
      <c r="L1609" s="51"/>
      <c r="P1609" s="51"/>
      <c r="T1609" s="51"/>
      <c r="V1609" s="51"/>
      <c r="X1609" s="51"/>
    </row>
    <row r="1610" spans="6:24">
      <c r="F1610" s="51"/>
      <c r="H1610" s="51"/>
      <c r="L1610" s="51"/>
      <c r="P1610" s="51"/>
      <c r="T1610" s="51"/>
      <c r="V1610" s="51"/>
      <c r="X1610" s="51"/>
    </row>
    <row r="1611" spans="6:24">
      <c r="F1611" s="51"/>
      <c r="H1611" s="51"/>
      <c r="L1611" s="51"/>
      <c r="P1611" s="51"/>
      <c r="T1611" s="51"/>
      <c r="V1611" s="51"/>
      <c r="X1611" s="51"/>
    </row>
    <row r="1612" spans="6:24">
      <c r="F1612" s="51"/>
      <c r="H1612" s="51"/>
      <c r="L1612" s="51"/>
      <c r="P1612" s="51"/>
      <c r="T1612" s="51"/>
      <c r="V1612" s="51"/>
      <c r="X1612" s="51"/>
    </row>
    <row r="1613" spans="6:24">
      <c r="F1613" s="51"/>
      <c r="H1613" s="51"/>
      <c r="L1613" s="51"/>
      <c r="P1613" s="51"/>
      <c r="T1613" s="51"/>
      <c r="V1613" s="51"/>
      <c r="X1613" s="51"/>
    </row>
    <row r="1614" spans="6:24">
      <c r="F1614" s="51"/>
      <c r="H1614" s="51"/>
      <c r="L1614" s="51"/>
      <c r="P1614" s="51"/>
      <c r="T1614" s="51"/>
      <c r="V1614" s="51"/>
      <c r="X1614" s="51"/>
    </row>
    <row r="1615" spans="6:24">
      <c r="F1615" s="51"/>
      <c r="H1615" s="51"/>
      <c r="L1615" s="51"/>
      <c r="P1615" s="51"/>
      <c r="T1615" s="51"/>
      <c r="V1615" s="51"/>
      <c r="X1615" s="51"/>
    </row>
    <row r="1616" spans="6:24">
      <c r="F1616" s="51"/>
      <c r="H1616" s="51"/>
      <c r="L1616" s="51"/>
      <c r="P1616" s="51"/>
      <c r="T1616" s="51"/>
      <c r="V1616" s="51"/>
      <c r="X1616" s="51"/>
    </row>
    <row r="1617" spans="6:24">
      <c r="F1617" s="51"/>
      <c r="H1617" s="51"/>
      <c r="L1617" s="51"/>
      <c r="P1617" s="51"/>
      <c r="T1617" s="51"/>
      <c r="V1617" s="51"/>
      <c r="X1617" s="51"/>
    </row>
    <row r="1618" spans="6:24">
      <c r="F1618" s="51"/>
      <c r="H1618" s="51"/>
      <c r="L1618" s="51"/>
      <c r="P1618" s="51"/>
      <c r="T1618" s="51"/>
      <c r="V1618" s="51"/>
      <c r="X1618" s="51"/>
    </row>
    <row r="1619" spans="6:24">
      <c r="F1619" s="51"/>
      <c r="H1619" s="51"/>
      <c r="L1619" s="51"/>
      <c r="P1619" s="51"/>
      <c r="T1619" s="51"/>
      <c r="V1619" s="51"/>
      <c r="X1619" s="51"/>
    </row>
    <row r="1620" spans="6:24">
      <c r="F1620" s="51"/>
      <c r="H1620" s="51"/>
      <c r="L1620" s="51"/>
      <c r="P1620" s="51"/>
      <c r="T1620" s="51"/>
      <c r="V1620" s="51"/>
      <c r="X1620" s="51"/>
    </row>
    <row r="1621" spans="6:24">
      <c r="F1621" s="51"/>
      <c r="H1621" s="51"/>
      <c r="L1621" s="51"/>
      <c r="P1621" s="51"/>
      <c r="T1621" s="51"/>
      <c r="V1621" s="51"/>
      <c r="X1621" s="51"/>
    </row>
    <row r="1622" spans="6:24">
      <c r="F1622" s="51"/>
      <c r="H1622" s="51"/>
      <c r="L1622" s="51"/>
      <c r="P1622" s="51"/>
      <c r="T1622" s="51"/>
      <c r="V1622" s="51"/>
      <c r="X1622" s="51"/>
    </row>
    <row r="1623" spans="6:24">
      <c r="F1623" s="51"/>
      <c r="H1623" s="51"/>
      <c r="L1623" s="51"/>
      <c r="P1623" s="51"/>
      <c r="T1623" s="51"/>
      <c r="V1623" s="51"/>
      <c r="X1623" s="51"/>
    </row>
    <row r="1624" spans="6:24">
      <c r="F1624" s="51"/>
      <c r="H1624" s="51"/>
      <c r="L1624" s="51"/>
      <c r="P1624" s="51"/>
      <c r="T1624" s="51"/>
      <c r="V1624" s="51"/>
      <c r="X1624" s="51"/>
    </row>
    <row r="1625" spans="6:24">
      <c r="F1625" s="51"/>
      <c r="H1625" s="51"/>
      <c r="L1625" s="51"/>
      <c r="P1625" s="51"/>
      <c r="T1625" s="51"/>
      <c r="V1625" s="51"/>
      <c r="X1625" s="51"/>
    </row>
    <row r="1626" spans="6:24">
      <c r="F1626" s="51"/>
      <c r="H1626" s="51"/>
      <c r="L1626" s="51"/>
      <c r="P1626" s="51"/>
      <c r="T1626" s="51"/>
      <c r="V1626" s="51"/>
      <c r="X1626" s="51"/>
    </row>
    <row r="1627" spans="6:24">
      <c r="F1627" s="51"/>
      <c r="H1627" s="51"/>
      <c r="L1627" s="51"/>
      <c r="P1627" s="51"/>
      <c r="T1627" s="51"/>
      <c r="V1627" s="51"/>
      <c r="X1627" s="51"/>
    </row>
    <row r="1628" spans="6:24">
      <c r="F1628" s="51"/>
      <c r="H1628" s="51"/>
      <c r="L1628" s="51"/>
      <c r="P1628" s="51"/>
      <c r="T1628" s="51"/>
      <c r="V1628" s="51"/>
      <c r="X1628" s="51"/>
    </row>
    <row r="1629" spans="6:24">
      <c r="F1629" s="51"/>
      <c r="H1629" s="51"/>
      <c r="L1629" s="51"/>
      <c r="P1629" s="51"/>
      <c r="T1629" s="51"/>
      <c r="V1629" s="51"/>
      <c r="X1629" s="51"/>
    </row>
    <row r="1630" spans="6:24">
      <c r="F1630" s="51"/>
      <c r="H1630" s="51"/>
      <c r="L1630" s="51"/>
      <c r="P1630" s="51"/>
      <c r="T1630" s="51"/>
      <c r="V1630" s="51"/>
      <c r="X1630" s="51"/>
    </row>
    <row r="1631" spans="6:24">
      <c r="F1631" s="51"/>
      <c r="H1631" s="51"/>
      <c r="L1631" s="51"/>
      <c r="P1631" s="51"/>
      <c r="T1631" s="51"/>
      <c r="V1631" s="51"/>
      <c r="X1631" s="51"/>
    </row>
    <row r="1632" spans="6:24">
      <c r="F1632" s="51"/>
      <c r="H1632" s="51"/>
      <c r="L1632" s="51"/>
      <c r="P1632" s="51"/>
      <c r="T1632" s="51"/>
      <c r="V1632" s="51"/>
      <c r="X1632" s="51"/>
    </row>
    <row r="1633" spans="6:24">
      <c r="F1633" s="51"/>
      <c r="H1633" s="51"/>
      <c r="L1633" s="51"/>
      <c r="P1633" s="51"/>
      <c r="T1633" s="51"/>
      <c r="V1633" s="51"/>
      <c r="X1633" s="51"/>
    </row>
    <row r="1634" spans="6:24">
      <c r="F1634" s="51"/>
      <c r="H1634" s="51"/>
      <c r="L1634" s="51"/>
      <c r="P1634" s="51"/>
      <c r="T1634" s="51"/>
      <c r="V1634" s="51"/>
      <c r="X1634" s="51"/>
    </row>
    <row r="1635" spans="6:24">
      <c r="F1635" s="51"/>
      <c r="H1635" s="51"/>
      <c r="L1635" s="51"/>
      <c r="P1635" s="51"/>
      <c r="T1635" s="51"/>
      <c r="V1635" s="51"/>
      <c r="X1635" s="51"/>
    </row>
    <row r="1636" spans="6:24">
      <c r="F1636" s="51"/>
      <c r="H1636" s="51"/>
      <c r="L1636" s="51"/>
      <c r="P1636" s="51"/>
      <c r="T1636" s="51"/>
      <c r="V1636" s="51"/>
      <c r="X1636" s="51"/>
    </row>
    <row r="1637" spans="6:24">
      <c r="F1637" s="51"/>
      <c r="H1637" s="51"/>
      <c r="L1637" s="51"/>
      <c r="P1637" s="51"/>
      <c r="T1637" s="51"/>
      <c r="V1637" s="51"/>
      <c r="X1637" s="51"/>
    </row>
    <row r="1638" spans="6:24">
      <c r="F1638" s="51"/>
      <c r="H1638" s="51"/>
      <c r="L1638" s="51"/>
      <c r="P1638" s="51"/>
      <c r="T1638" s="51"/>
      <c r="V1638" s="51"/>
      <c r="X1638" s="51"/>
    </row>
    <row r="1639" spans="6:24">
      <c r="F1639" s="51"/>
      <c r="H1639" s="51"/>
      <c r="L1639" s="51"/>
      <c r="P1639" s="51"/>
      <c r="T1639" s="51"/>
      <c r="V1639" s="51"/>
      <c r="X1639" s="51"/>
    </row>
    <row r="1640" spans="6:24">
      <c r="F1640" s="51"/>
      <c r="H1640" s="51"/>
      <c r="L1640" s="51"/>
      <c r="P1640" s="51"/>
      <c r="T1640" s="51"/>
      <c r="V1640" s="51"/>
      <c r="X1640" s="51"/>
    </row>
    <row r="1641" spans="6:24">
      <c r="F1641" s="51"/>
      <c r="H1641" s="51"/>
      <c r="L1641" s="51"/>
      <c r="P1641" s="51"/>
      <c r="T1641" s="51"/>
      <c r="V1641" s="51"/>
      <c r="X1641" s="51"/>
    </row>
    <row r="1642" spans="6:24">
      <c r="F1642" s="51"/>
      <c r="H1642" s="51"/>
      <c r="L1642" s="51"/>
      <c r="P1642" s="51"/>
      <c r="T1642" s="51"/>
      <c r="V1642" s="51"/>
      <c r="X1642" s="51"/>
    </row>
    <row r="1643" spans="6:24">
      <c r="F1643" s="51"/>
      <c r="H1643" s="51"/>
      <c r="L1643" s="51"/>
      <c r="P1643" s="51"/>
      <c r="T1643" s="51"/>
      <c r="V1643" s="51"/>
      <c r="X1643" s="51"/>
    </row>
    <row r="1644" spans="6:24">
      <c r="F1644" s="51"/>
      <c r="H1644" s="51"/>
      <c r="L1644" s="51"/>
      <c r="P1644" s="51"/>
      <c r="T1644" s="51"/>
      <c r="V1644" s="51"/>
      <c r="X1644" s="51"/>
    </row>
    <row r="1645" spans="6:24">
      <c r="F1645" s="51"/>
      <c r="H1645" s="51"/>
      <c r="L1645" s="51"/>
      <c r="P1645" s="51"/>
      <c r="T1645" s="51"/>
      <c r="V1645" s="51"/>
      <c r="X1645" s="51"/>
    </row>
    <row r="1646" spans="6:24">
      <c r="F1646" s="51"/>
      <c r="H1646" s="51"/>
      <c r="L1646" s="51"/>
      <c r="P1646" s="51"/>
      <c r="T1646" s="51"/>
      <c r="V1646" s="51"/>
      <c r="X1646" s="51"/>
    </row>
    <row r="1647" spans="6:24">
      <c r="F1647" s="51"/>
      <c r="H1647" s="51"/>
      <c r="L1647" s="51"/>
      <c r="P1647" s="51"/>
      <c r="T1647" s="51"/>
      <c r="V1647" s="51"/>
      <c r="X1647" s="51"/>
    </row>
    <row r="1648" spans="6:24">
      <c r="F1648" s="51"/>
      <c r="H1648" s="51"/>
      <c r="L1648" s="51"/>
      <c r="P1648" s="51"/>
      <c r="T1648" s="51"/>
      <c r="V1648" s="51"/>
      <c r="X1648" s="51"/>
    </row>
    <row r="1649" spans="6:24">
      <c r="F1649" s="51"/>
      <c r="H1649" s="51"/>
      <c r="L1649" s="51"/>
      <c r="P1649" s="51"/>
      <c r="T1649" s="51"/>
      <c r="V1649" s="51"/>
      <c r="X1649" s="51"/>
    </row>
    <row r="1650" spans="6:24">
      <c r="F1650" s="51"/>
      <c r="H1650" s="51"/>
      <c r="L1650" s="51"/>
      <c r="P1650" s="51"/>
      <c r="T1650" s="51"/>
      <c r="V1650" s="51"/>
      <c r="X1650" s="51"/>
    </row>
    <row r="1651" spans="6:24">
      <c r="F1651" s="51"/>
      <c r="H1651" s="51"/>
      <c r="L1651" s="51"/>
      <c r="P1651" s="51"/>
      <c r="T1651" s="51"/>
      <c r="V1651" s="51"/>
      <c r="X1651" s="51"/>
    </row>
    <row r="1652" spans="6:24">
      <c r="F1652" s="51"/>
      <c r="H1652" s="51"/>
      <c r="L1652" s="51"/>
      <c r="P1652" s="51"/>
      <c r="T1652" s="51"/>
      <c r="V1652" s="51"/>
      <c r="X1652" s="51"/>
    </row>
    <row r="1653" spans="6:24">
      <c r="F1653" s="51"/>
      <c r="H1653" s="51"/>
      <c r="L1653" s="51"/>
      <c r="P1653" s="51"/>
      <c r="T1653" s="51"/>
      <c r="V1653" s="51"/>
      <c r="X1653" s="51"/>
    </row>
    <row r="1654" spans="6:24">
      <c r="F1654" s="51"/>
      <c r="H1654" s="51"/>
      <c r="L1654" s="51"/>
      <c r="P1654" s="51"/>
      <c r="T1654" s="51"/>
      <c r="V1654" s="51"/>
      <c r="X1654" s="51"/>
    </row>
    <row r="1655" spans="6:24">
      <c r="F1655" s="51"/>
      <c r="H1655" s="51"/>
      <c r="L1655" s="51"/>
      <c r="P1655" s="51"/>
      <c r="T1655" s="51"/>
      <c r="V1655" s="51"/>
      <c r="X1655" s="51"/>
    </row>
    <row r="1656" spans="6:24">
      <c r="F1656" s="51"/>
      <c r="H1656" s="51"/>
      <c r="L1656" s="51"/>
      <c r="P1656" s="51"/>
      <c r="T1656" s="51"/>
      <c r="V1656" s="51"/>
      <c r="X1656" s="51"/>
    </row>
    <row r="1657" spans="6:24">
      <c r="F1657" s="51"/>
      <c r="H1657" s="51"/>
      <c r="L1657" s="51"/>
      <c r="P1657" s="51"/>
      <c r="T1657" s="51"/>
      <c r="V1657" s="51"/>
      <c r="X1657" s="51"/>
    </row>
    <row r="1658" spans="6:24">
      <c r="F1658" s="51"/>
      <c r="H1658" s="51"/>
      <c r="L1658" s="51"/>
      <c r="P1658" s="51"/>
      <c r="T1658" s="51"/>
      <c r="V1658" s="51"/>
      <c r="X1658" s="51"/>
    </row>
    <row r="1659" spans="6:24">
      <c r="F1659" s="51"/>
      <c r="H1659" s="51"/>
      <c r="L1659" s="51"/>
      <c r="P1659" s="51"/>
      <c r="T1659" s="51"/>
      <c r="V1659" s="51"/>
      <c r="X1659" s="51"/>
    </row>
    <row r="1660" spans="6:24">
      <c r="F1660" s="51"/>
      <c r="H1660" s="51"/>
      <c r="L1660" s="51"/>
      <c r="P1660" s="51"/>
      <c r="T1660" s="51"/>
      <c r="V1660" s="51"/>
      <c r="X1660" s="51"/>
    </row>
    <row r="1661" spans="6:24">
      <c r="F1661" s="51"/>
      <c r="H1661" s="51"/>
      <c r="L1661" s="51"/>
      <c r="P1661" s="51"/>
      <c r="T1661" s="51"/>
      <c r="V1661" s="51"/>
      <c r="X1661" s="51"/>
    </row>
    <row r="1662" spans="6:24">
      <c r="F1662" s="51"/>
      <c r="H1662" s="51"/>
      <c r="L1662" s="51"/>
      <c r="P1662" s="51"/>
      <c r="T1662" s="51"/>
      <c r="V1662" s="51"/>
      <c r="X1662" s="51"/>
    </row>
    <row r="1663" spans="6:24">
      <c r="F1663" s="51"/>
      <c r="H1663" s="51"/>
      <c r="L1663" s="51"/>
      <c r="P1663" s="51"/>
      <c r="T1663" s="51"/>
      <c r="V1663" s="51"/>
      <c r="X1663" s="51"/>
    </row>
    <row r="1664" spans="6:24">
      <c r="F1664" s="51"/>
      <c r="H1664" s="51"/>
      <c r="L1664" s="51"/>
      <c r="P1664" s="51"/>
      <c r="T1664" s="51"/>
      <c r="V1664" s="51"/>
      <c r="X1664" s="51"/>
    </row>
    <row r="1665" spans="6:24">
      <c r="F1665" s="51"/>
      <c r="H1665" s="51"/>
      <c r="L1665" s="51"/>
      <c r="P1665" s="51"/>
      <c r="T1665" s="51"/>
      <c r="V1665" s="51"/>
      <c r="X1665" s="51"/>
    </row>
    <row r="1666" spans="6:24">
      <c r="F1666" s="51"/>
      <c r="H1666" s="51"/>
      <c r="L1666" s="51"/>
      <c r="P1666" s="51"/>
      <c r="T1666" s="51"/>
      <c r="V1666" s="51"/>
      <c r="X1666" s="51"/>
    </row>
    <row r="1667" spans="6:24">
      <c r="F1667" s="51"/>
      <c r="H1667" s="51"/>
      <c r="L1667" s="51"/>
      <c r="P1667" s="51"/>
      <c r="T1667" s="51"/>
      <c r="V1667" s="51"/>
      <c r="X1667" s="51"/>
    </row>
    <row r="1668" spans="6:24">
      <c r="F1668" s="51"/>
      <c r="H1668" s="51"/>
      <c r="L1668" s="51"/>
      <c r="P1668" s="51"/>
      <c r="T1668" s="51"/>
      <c r="V1668" s="51"/>
      <c r="X1668" s="51"/>
    </row>
    <row r="1669" spans="6:24">
      <c r="F1669" s="51"/>
      <c r="H1669" s="51"/>
      <c r="L1669" s="51"/>
      <c r="P1669" s="51"/>
      <c r="T1669" s="51"/>
      <c r="V1669" s="51"/>
      <c r="X1669" s="51"/>
    </row>
    <row r="1670" spans="6:24">
      <c r="F1670" s="51"/>
      <c r="H1670" s="51"/>
      <c r="L1670" s="51"/>
      <c r="P1670" s="51"/>
      <c r="T1670" s="51"/>
      <c r="V1670" s="51"/>
      <c r="X1670" s="51"/>
    </row>
    <row r="1671" spans="6:24">
      <c r="F1671" s="51"/>
      <c r="H1671" s="51"/>
      <c r="L1671" s="51"/>
      <c r="P1671" s="51"/>
      <c r="T1671" s="51"/>
      <c r="V1671" s="51"/>
      <c r="X1671" s="51"/>
    </row>
    <row r="1672" spans="6:24">
      <c r="F1672" s="51"/>
      <c r="H1672" s="51"/>
      <c r="L1672" s="51"/>
      <c r="P1672" s="51"/>
      <c r="T1672" s="51"/>
      <c r="V1672" s="51"/>
      <c r="X1672" s="51"/>
    </row>
    <row r="1673" spans="6:24">
      <c r="F1673" s="51"/>
      <c r="H1673" s="51"/>
      <c r="L1673" s="51"/>
      <c r="P1673" s="51"/>
      <c r="T1673" s="51"/>
      <c r="V1673" s="51"/>
      <c r="X1673" s="51"/>
    </row>
    <row r="1674" spans="6:24">
      <c r="F1674" s="51"/>
      <c r="H1674" s="51"/>
      <c r="L1674" s="51"/>
      <c r="P1674" s="51"/>
      <c r="T1674" s="51"/>
      <c r="V1674" s="51"/>
      <c r="X1674" s="51"/>
    </row>
    <row r="1675" spans="6:24">
      <c r="F1675" s="51"/>
      <c r="H1675" s="51"/>
      <c r="L1675" s="51"/>
      <c r="P1675" s="51"/>
      <c r="T1675" s="51"/>
      <c r="V1675" s="51"/>
      <c r="X1675" s="51"/>
    </row>
    <row r="1676" spans="6:24">
      <c r="F1676" s="51"/>
      <c r="H1676" s="51"/>
      <c r="L1676" s="51"/>
      <c r="P1676" s="51"/>
      <c r="T1676" s="51"/>
      <c r="V1676" s="51"/>
      <c r="X1676" s="51"/>
    </row>
    <row r="1677" spans="6:24">
      <c r="F1677" s="51"/>
      <c r="H1677" s="51"/>
      <c r="L1677" s="51"/>
      <c r="P1677" s="51"/>
      <c r="T1677" s="51"/>
      <c r="V1677" s="51"/>
      <c r="X1677" s="51"/>
    </row>
    <row r="1678" spans="6:24">
      <c r="F1678" s="51"/>
      <c r="H1678" s="51"/>
      <c r="L1678" s="51"/>
      <c r="P1678" s="51"/>
      <c r="T1678" s="51"/>
      <c r="V1678" s="51"/>
      <c r="X1678" s="51"/>
    </row>
    <row r="1679" spans="6:24">
      <c r="F1679" s="51"/>
      <c r="H1679" s="51"/>
      <c r="L1679" s="51"/>
      <c r="P1679" s="51"/>
      <c r="T1679" s="51"/>
      <c r="V1679" s="51"/>
      <c r="X1679" s="51"/>
    </row>
    <row r="1680" spans="6:24">
      <c r="F1680" s="51"/>
      <c r="H1680" s="51"/>
      <c r="L1680" s="51"/>
      <c r="P1680" s="51"/>
      <c r="T1680" s="51"/>
      <c r="V1680" s="51"/>
      <c r="X1680" s="51"/>
    </row>
    <row r="1681" spans="6:24">
      <c r="F1681" s="51"/>
      <c r="H1681" s="51"/>
      <c r="L1681" s="51"/>
      <c r="P1681" s="51"/>
      <c r="T1681" s="51"/>
      <c r="V1681" s="51"/>
      <c r="X1681" s="51"/>
    </row>
    <row r="1682" spans="6:24">
      <c r="F1682" s="51"/>
      <c r="H1682" s="51"/>
      <c r="L1682" s="51"/>
      <c r="P1682" s="51"/>
      <c r="T1682" s="51"/>
      <c r="V1682" s="51"/>
      <c r="X1682" s="51"/>
    </row>
    <row r="1683" spans="6:24">
      <c r="F1683" s="51"/>
      <c r="H1683" s="51"/>
      <c r="L1683" s="51"/>
      <c r="P1683" s="51"/>
      <c r="T1683" s="51"/>
      <c r="V1683" s="51"/>
      <c r="X1683" s="51"/>
    </row>
    <row r="1684" spans="6:24">
      <c r="F1684" s="51"/>
      <c r="H1684" s="51"/>
      <c r="L1684" s="51"/>
      <c r="P1684" s="51"/>
      <c r="T1684" s="51"/>
      <c r="V1684" s="51"/>
      <c r="X1684" s="51"/>
    </row>
    <row r="1685" spans="6:24">
      <c r="F1685" s="51"/>
      <c r="H1685" s="51"/>
      <c r="L1685" s="51"/>
      <c r="P1685" s="51"/>
      <c r="T1685" s="51"/>
      <c r="V1685" s="51"/>
      <c r="X1685" s="51"/>
    </row>
    <row r="1686" spans="6:24">
      <c r="F1686" s="51"/>
      <c r="H1686" s="51"/>
      <c r="L1686" s="51"/>
      <c r="P1686" s="51"/>
      <c r="T1686" s="51"/>
      <c r="V1686" s="51"/>
      <c r="X1686" s="51"/>
    </row>
    <row r="1687" spans="6:24">
      <c r="F1687" s="51"/>
      <c r="H1687" s="51"/>
      <c r="L1687" s="51"/>
      <c r="P1687" s="51"/>
      <c r="T1687" s="51"/>
      <c r="V1687" s="51"/>
      <c r="X1687" s="51"/>
    </row>
    <row r="1688" spans="6:24">
      <c r="F1688" s="51"/>
      <c r="H1688" s="51"/>
      <c r="L1688" s="51"/>
      <c r="P1688" s="51"/>
      <c r="T1688" s="51"/>
      <c r="V1688" s="51"/>
      <c r="X1688" s="51"/>
    </row>
    <row r="1689" spans="6:24">
      <c r="F1689" s="51"/>
      <c r="H1689" s="51"/>
      <c r="L1689" s="51"/>
      <c r="P1689" s="51"/>
      <c r="T1689" s="51"/>
      <c r="V1689" s="51"/>
      <c r="X1689" s="51"/>
    </row>
    <row r="1690" spans="6:24">
      <c r="F1690" s="51"/>
      <c r="H1690" s="51"/>
      <c r="L1690" s="51"/>
      <c r="P1690" s="51"/>
      <c r="T1690" s="51"/>
      <c r="V1690" s="51"/>
      <c r="X1690" s="51"/>
    </row>
    <row r="1691" spans="6:24">
      <c r="F1691" s="51"/>
      <c r="H1691" s="51"/>
      <c r="L1691" s="51"/>
      <c r="P1691" s="51"/>
      <c r="T1691" s="51"/>
      <c r="V1691" s="51"/>
      <c r="X1691" s="51"/>
    </row>
    <row r="1692" spans="6:24">
      <c r="F1692" s="51"/>
      <c r="H1692" s="51"/>
      <c r="L1692" s="51"/>
      <c r="P1692" s="51"/>
      <c r="T1692" s="51"/>
      <c r="V1692" s="51"/>
      <c r="X1692" s="51"/>
    </row>
    <row r="1693" spans="6:24">
      <c r="F1693" s="51"/>
      <c r="H1693" s="51"/>
      <c r="L1693" s="51"/>
      <c r="P1693" s="51"/>
      <c r="T1693" s="51"/>
      <c r="V1693" s="51"/>
      <c r="X1693" s="51"/>
    </row>
    <row r="1694" spans="6:24">
      <c r="F1694" s="51"/>
      <c r="H1694" s="51"/>
      <c r="L1694" s="51"/>
      <c r="P1694" s="51"/>
      <c r="T1694" s="51"/>
      <c r="V1694" s="51"/>
      <c r="X1694" s="51"/>
    </row>
    <row r="1695" spans="6:24">
      <c r="F1695" s="51"/>
      <c r="H1695" s="51"/>
      <c r="L1695" s="51"/>
      <c r="P1695" s="51"/>
      <c r="T1695" s="51"/>
      <c r="V1695" s="51"/>
      <c r="X1695" s="51"/>
    </row>
    <row r="1696" spans="6:24">
      <c r="F1696" s="51"/>
      <c r="H1696" s="51"/>
      <c r="L1696" s="51"/>
      <c r="P1696" s="51"/>
      <c r="T1696" s="51"/>
      <c r="V1696" s="51"/>
      <c r="X1696" s="51"/>
    </row>
    <row r="1697" spans="6:24">
      <c r="F1697" s="51"/>
      <c r="H1697" s="51"/>
      <c r="L1697" s="51"/>
      <c r="P1697" s="51"/>
      <c r="T1697" s="51"/>
      <c r="V1697" s="51"/>
      <c r="X1697" s="51"/>
    </row>
    <row r="1698" spans="6:24">
      <c r="F1698" s="51"/>
      <c r="H1698" s="51"/>
      <c r="L1698" s="51"/>
      <c r="P1698" s="51"/>
      <c r="T1698" s="51"/>
      <c r="V1698" s="51"/>
      <c r="X1698" s="51"/>
    </row>
    <row r="1699" spans="6:24">
      <c r="F1699" s="51"/>
      <c r="H1699" s="51"/>
      <c r="L1699" s="51"/>
      <c r="P1699" s="51"/>
      <c r="T1699" s="51"/>
      <c r="V1699" s="51"/>
      <c r="X1699" s="51"/>
    </row>
    <row r="1700" spans="6:24">
      <c r="F1700" s="51"/>
      <c r="H1700" s="51"/>
      <c r="L1700" s="51"/>
      <c r="P1700" s="51"/>
      <c r="T1700" s="51"/>
      <c r="V1700" s="51"/>
      <c r="X1700" s="51"/>
    </row>
    <row r="1701" spans="6:24">
      <c r="F1701" s="51"/>
      <c r="H1701" s="51"/>
      <c r="L1701" s="51"/>
      <c r="P1701" s="51"/>
      <c r="T1701" s="51"/>
      <c r="V1701" s="51"/>
      <c r="X1701" s="51"/>
    </row>
    <row r="1702" spans="6:24">
      <c r="F1702" s="51"/>
      <c r="H1702" s="51"/>
      <c r="L1702" s="51"/>
      <c r="P1702" s="51"/>
      <c r="T1702" s="51"/>
      <c r="V1702" s="51"/>
      <c r="X1702" s="51"/>
    </row>
    <row r="1703" spans="6:24">
      <c r="F1703" s="51"/>
      <c r="H1703" s="51"/>
      <c r="L1703" s="51"/>
      <c r="P1703" s="51"/>
      <c r="T1703" s="51"/>
      <c r="V1703" s="51"/>
      <c r="X1703" s="51"/>
    </row>
    <row r="1704" spans="6:24">
      <c r="F1704" s="51"/>
      <c r="H1704" s="51"/>
      <c r="L1704" s="51"/>
      <c r="P1704" s="51"/>
      <c r="T1704" s="51"/>
      <c r="V1704" s="51"/>
      <c r="X1704" s="51"/>
    </row>
    <row r="1705" spans="6:24">
      <c r="F1705" s="51"/>
      <c r="H1705" s="51"/>
      <c r="L1705" s="51"/>
      <c r="P1705" s="51"/>
      <c r="T1705" s="51"/>
      <c r="V1705" s="51"/>
      <c r="X1705" s="51"/>
    </row>
    <row r="1706" spans="6:24">
      <c r="F1706" s="51"/>
      <c r="H1706" s="51"/>
      <c r="L1706" s="51"/>
      <c r="P1706" s="51"/>
      <c r="T1706" s="51"/>
      <c r="V1706" s="51"/>
      <c r="X1706" s="51"/>
    </row>
    <row r="1707" spans="6:24">
      <c r="F1707" s="51"/>
      <c r="H1707" s="51"/>
      <c r="L1707" s="51"/>
      <c r="P1707" s="51"/>
      <c r="T1707" s="51"/>
      <c r="V1707" s="51"/>
      <c r="X1707" s="51"/>
    </row>
    <row r="1708" spans="6:24">
      <c r="F1708" s="51"/>
      <c r="H1708" s="51"/>
      <c r="L1708" s="51"/>
      <c r="P1708" s="51"/>
      <c r="T1708" s="51"/>
      <c r="V1708" s="51"/>
      <c r="X1708" s="51"/>
    </row>
    <row r="1709" spans="6:24">
      <c r="F1709" s="51"/>
      <c r="H1709" s="51"/>
      <c r="L1709" s="51"/>
      <c r="P1709" s="51"/>
      <c r="T1709" s="51"/>
      <c r="V1709" s="51"/>
      <c r="X1709" s="51"/>
    </row>
    <row r="1710" spans="6:24">
      <c r="F1710" s="51"/>
      <c r="H1710" s="51"/>
      <c r="L1710" s="51"/>
      <c r="P1710" s="51"/>
      <c r="T1710" s="51"/>
      <c r="V1710" s="51"/>
      <c r="X1710" s="51"/>
    </row>
    <row r="1711" spans="6:24">
      <c r="F1711" s="51"/>
      <c r="H1711" s="51"/>
      <c r="L1711" s="51"/>
      <c r="P1711" s="51"/>
      <c r="T1711" s="51"/>
      <c r="V1711" s="51"/>
      <c r="X1711" s="51"/>
    </row>
    <row r="1712" spans="6:24">
      <c r="F1712" s="51"/>
      <c r="H1712" s="51"/>
      <c r="L1712" s="51"/>
      <c r="P1712" s="51"/>
      <c r="T1712" s="51"/>
      <c r="V1712" s="51"/>
      <c r="X1712" s="51"/>
    </row>
    <row r="1713" spans="6:24">
      <c r="F1713" s="51"/>
      <c r="H1713" s="51"/>
      <c r="L1713" s="51"/>
      <c r="P1713" s="51"/>
      <c r="T1713" s="51"/>
      <c r="V1713" s="51"/>
      <c r="X1713" s="51"/>
    </row>
    <row r="1714" spans="6:24">
      <c r="F1714" s="51"/>
      <c r="H1714" s="51"/>
      <c r="L1714" s="51"/>
      <c r="P1714" s="51"/>
      <c r="T1714" s="51"/>
      <c r="V1714" s="51"/>
      <c r="X1714" s="51"/>
    </row>
    <row r="1715" spans="6:24">
      <c r="F1715" s="51"/>
      <c r="H1715" s="51"/>
      <c r="L1715" s="51"/>
      <c r="P1715" s="51"/>
      <c r="T1715" s="51"/>
      <c r="V1715" s="51"/>
      <c r="X1715" s="51"/>
    </row>
    <row r="1716" spans="6:24">
      <c r="F1716" s="51"/>
      <c r="H1716" s="51"/>
      <c r="L1716" s="51"/>
      <c r="P1716" s="51"/>
      <c r="T1716" s="51"/>
      <c r="V1716" s="51"/>
      <c r="X1716" s="51"/>
    </row>
    <row r="1717" spans="6:24">
      <c r="F1717" s="51"/>
      <c r="H1717" s="51"/>
      <c r="L1717" s="51"/>
      <c r="P1717" s="51"/>
      <c r="T1717" s="51"/>
      <c r="V1717" s="51"/>
      <c r="X1717" s="51"/>
    </row>
    <row r="1718" spans="6:24">
      <c r="F1718" s="51"/>
      <c r="H1718" s="51"/>
      <c r="L1718" s="51"/>
      <c r="P1718" s="51"/>
      <c r="T1718" s="51"/>
      <c r="V1718" s="51"/>
      <c r="X1718" s="51"/>
    </row>
    <row r="1719" spans="6:24">
      <c r="F1719" s="51"/>
      <c r="H1719" s="51"/>
      <c r="L1719" s="51"/>
      <c r="P1719" s="51"/>
      <c r="T1719" s="51"/>
      <c r="V1719" s="51"/>
      <c r="X1719" s="51"/>
    </row>
    <row r="1720" spans="6:24">
      <c r="F1720" s="51"/>
      <c r="H1720" s="51"/>
      <c r="L1720" s="51"/>
      <c r="P1720" s="51"/>
      <c r="T1720" s="51"/>
      <c r="V1720" s="51"/>
      <c r="X1720" s="51"/>
    </row>
    <row r="1721" spans="6:24">
      <c r="F1721" s="51"/>
      <c r="H1721" s="51"/>
      <c r="L1721" s="51"/>
      <c r="P1721" s="51"/>
      <c r="T1721" s="51"/>
      <c r="V1721" s="51"/>
      <c r="X1721" s="51"/>
    </row>
    <row r="1722" spans="6:24">
      <c r="F1722" s="51"/>
      <c r="H1722" s="51"/>
      <c r="L1722" s="51"/>
      <c r="P1722" s="51"/>
      <c r="T1722" s="51"/>
      <c r="V1722" s="51"/>
      <c r="X1722" s="51"/>
    </row>
    <row r="1723" spans="6:24">
      <c r="F1723" s="51"/>
      <c r="H1723" s="51"/>
      <c r="L1723" s="51"/>
      <c r="P1723" s="51"/>
      <c r="T1723" s="51"/>
      <c r="V1723" s="51"/>
      <c r="X1723" s="51"/>
    </row>
    <row r="1724" spans="6:24">
      <c r="F1724" s="51"/>
      <c r="H1724" s="51"/>
      <c r="L1724" s="51"/>
      <c r="P1724" s="51"/>
      <c r="T1724" s="51"/>
      <c r="V1724" s="51"/>
      <c r="X1724" s="51"/>
    </row>
    <row r="1725" spans="6:24">
      <c r="F1725" s="51"/>
      <c r="H1725" s="51"/>
      <c r="L1725" s="51"/>
      <c r="P1725" s="51"/>
      <c r="T1725" s="51"/>
      <c r="V1725" s="51"/>
      <c r="X1725" s="51"/>
    </row>
    <row r="1726" spans="6:24">
      <c r="F1726" s="51"/>
      <c r="H1726" s="51"/>
      <c r="L1726" s="51"/>
      <c r="P1726" s="51"/>
      <c r="T1726" s="51"/>
      <c r="V1726" s="51"/>
      <c r="X1726" s="51"/>
    </row>
    <row r="1727" spans="6:24">
      <c r="F1727" s="51"/>
      <c r="H1727" s="51"/>
      <c r="L1727" s="51"/>
      <c r="P1727" s="51"/>
      <c r="T1727" s="51"/>
      <c r="V1727" s="51"/>
      <c r="X1727" s="51"/>
    </row>
    <row r="1728" spans="6:24">
      <c r="F1728" s="51"/>
      <c r="H1728" s="51"/>
      <c r="L1728" s="51"/>
      <c r="P1728" s="51"/>
      <c r="T1728" s="51"/>
      <c r="V1728" s="51"/>
      <c r="X1728" s="51"/>
    </row>
    <row r="1729" spans="6:24">
      <c r="F1729" s="51"/>
      <c r="H1729" s="51"/>
      <c r="L1729" s="51"/>
      <c r="P1729" s="51"/>
      <c r="T1729" s="51"/>
      <c r="V1729" s="51"/>
      <c r="X1729" s="51"/>
    </row>
    <row r="1730" spans="6:24">
      <c r="F1730" s="51"/>
      <c r="H1730" s="51"/>
      <c r="L1730" s="51"/>
      <c r="P1730" s="51"/>
      <c r="T1730" s="51"/>
      <c r="V1730" s="51"/>
      <c r="X1730" s="51"/>
    </row>
    <row r="1731" spans="6:24">
      <c r="F1731" s="51"/>
      <c r="H1731" s="51"/>
      <c r="L1731" s="51"/>
      <c r="P1731" s="51"/>
      <c r="T1731" s="51"/>
      <c r="V1731" s="51"/>
      <c r="X1731" s="51"/>
    </row>
    <row r="1732" spans="6:24">
      <c r="F1732" s="51"/>
      <c r="H1732" s="51"/>
      <c r="L1732" s="51"/>
      <c r="P1732" s="51"/>
      <c r="T1732" s="51"/>
      <c r="V1732" s="51"/>
      <c r="X1732" s="51"/>
    </row>
    <row r="1733" spans="6:24">
      <c r="F1733" s="51"/>
      <c r="H1733" s="51"/>
      <c r="L1733" s="51"/>
      <c r="P1733" s="51"/>
      <c r="T1733" s="51"/>
      <c r="V1733" s="51"/>
      <c r="X1733" s="51"/>
    </row>
    <row r="1734" spans="6:24">
      <c r="F1734" s="51"/>
      <c r="H1734" s="51"/>
      <c r="L1734" s="51"/>
      <c r="P1734" s="51"/>
      <c r="T1734" s="51"/>
      <c r="V1734" s="51"/>
      <c r="X1734" s="51"/>
    </row>
    <row r="1735" spans="6:24">
      <c r="F1735" s="51"/>
      <c r="H1735" s="51"/>
      <c r="L1735" s="51"/>
      <c r="P1735" s="51"/>
      <c r="T1735" s="51"/>
      <c r="V1735" s="51"/>
      <c r="X1735" s="51"/>
    </row>
    <row r="1736" spans="6:24">
      <c r="F1736" s="51"/>
      <c r="H1736" s="51"/>
      <c r="L1736" s="51"/>
      <c r="P1736" s="51"/>
      <c r="T1736" s="51"/>
      <c r="V1736" s="51"/>
      <c r="X1736" s="51"/>
    </row>
    <row r="1737" spans="6:24">
      <c r="F1737" s="51"/>
      <c r="H1737" s="51"/>
      <c r="L1737" s="51"/>
      <c r="P1737" s="51"/>
      <c r="T1737" s="51"/>
      <c r="V1737" s="51"/>
      <c r="X1737" s="51"/>
    </row>
    <row r="1738" spans="6:24">
      <c r="F1738" s="51"/>
      <c r="H1738" s="51"/>
      <c r="L1738" s="51"/>
      <c r="P1738" s="51"/>
      <c r="T1738" s="51"/>
      <c r="V1738" s="51"/>
      <c r="X1738" s="51"/>
    </row>
    <row r="1739" spans="6:24">
      <c r="F1739" s="51"/>
      <c r="H1739" s="51"/>
      <c r="L1739" s="51"/>
      <c r="P1739" s="51"/>
      <c r="T1739" s="51"/>
      <c r="V1739" s="51"/>
      <c r="X1739" s="51"/>
    </row>
    <row r="1740" spans="6:24">
      <c r="F1740" s="51"/>
      <c r="H1740" s="51"/>
      <c r="L1740" s="51"/>
      <c r="P1740" s="51"/>
      <c r="T1740" s="51"/>
      <c r="V1740" s="51"/>
      <c r="X1740" s="51"/>
    </row>
    <row r="1741" spans="6:24">
      <c r="F1741" s="51"/>
      <c r="H1741" s="51"/>
      <c r="L1741" s="51"/>
      <c r="P1741" s="51"/>
      <c r="T1741" s="51"/>
      <c r="V1741" s="51"/>
      <c r="X1741" s="51"/>
    </row>
    <row r="1742" spans="6:24">
      <c r="F1742" s="51"/>
      <c r="H1742" s="51"/>
      <c r="L1742" s="51"/>
      <c r="P1742" s="51"/>
      <c r="T1742" s="51"/>
      <c r="V1742" s="51"/>
      <c r="X1742" s="51"/>
    </row>
    <row r="1743" spans="6:24">
      <c r="F1743" s="51"/>
      <c r="H1743" s="51"/>
      <c r="L1743" s="51"/>
      <c r="P1743" s="51"/>
      <c r="T1743" s="51"/>
      <c r="V1743" s="51"/>
      <c r="X1743" s="51"/>
    </row>
    <row r="1744" spans="6:24">
      <c r="F1744" s="51"/>
      <c r="H1744" s="51"/>
      <c r="L1744" s="51"/>
      <c r="P1744" s="51"/>
      <c r="T1744" s="51"/>
      <c r="V1744" s="51"/>
      <c r="X1744" s="51"/>
    </row>
    <row r="1745" spans="6:24">
      <c r="F1745" s="51"/>
      <c r="H1745" s="51"/>
      <c r="L1745" s="51"/>
      <c r="P1745" s="51"/>
      <c r="T1745" s="51"/>
      <c r="V1745" s="51"/>
      <c r="X1745" s="51"/>
    </row>
    <row r="1746" spans="6:24">
      <c r="F1746" s="51"/>
      <c r="H1746" s="51"/>
      <c r="L1746" s="51"/>
      <c r="P1746" s="51"/>
      <c r="T1746" s="51"/>
      <c r="V1746" s="51"/>
      <c r="X1746" s="51"/>
    </row>
    <row r="1747" spans="6:24">
      <c r="F1747" s="51"/>
      <c r="H1747" s="51"/>
      <c r="L1747" s="51"/>
      <c r="P1747" s="51"/>
      <c r="T1747" s="51"/>
      <c r="V1747" s="51"/>
      <c r="X1747" s="51"/>
    </row>
    <row r="1748" spans="6:24">
      <c r="F1748" s="51"/>
      <c r="H1748" s="51"/>
      <c r="L1748" s="51"/>
      <c r="P1748" s="51"/>
      <c r="T1748" s="51"/>
      <c r="V1748" s="51"/>
      <c r="X1748" s="51"/>
    </row>
    <row r="1749" spans="6:24">
      <c r="F1749" s="51"/>
      <c r="H1749" s="51"/>
      <c r="L1749" s="51"/>
      <c r="P1749" s="51"/>
      <c r="T1749" s="51"/>
      <c r="V1749" s="51"/>
      <c r="X1749" s="51"/>
    </row>
    <row r="1750" spans="6:24">
      <c r="F1750" s="51"/>
      <c r="H1750" s="51"/>
      <c r="L1750" s="51"/>
      <c r="P1750" s="51"/>
      <c r="T1750" s="51"/>
      <c r="V1750" s="51"/>
      <c r="X1750" s="51"/>
    </row>
    <row r="1751" spans="6:24">
      <c r="F1751" s="51"/>
      <c r="H1751" s="51"/>
      <c r="L1751" s="51"/>
      <c r="P1751" s="51"/>
      <c r="T1751" s="51"/>
      <c r="V1751" s="51"/>
      <c r="X1751" s="51"/>
    </row>
    <row r="1752" spans="6:24">
      <c r="F1752" s="51"/>
      <c r="H1752" s="51"/>
      <c r="L1752" s="51"/>
      <c r="P1752" s="51"/>
      <c r="T1752" s="51"/>
      <c r="V1752" s="51"/>
      <c r="X1752" s="51"/>
    </row>
    <row r="1753" spans="6:24">
      <c r="F1753" s="51"/>
      <c r="H1753" s="51"/>
      <c r="L1753" s="51"/>
      <c r="P1753" s="51"/>
      <c r="T1753" s="51"/>
      <c r="V1753" s="51"/>
      <c r="X1753" s="51"/>
    </row>
    <row r="1754" spans="6:24">
      <c r="F1754" s="51"/>
      <c r="H1754" s="51"/>
      <c r="L1754" s="51"/>
      <c r="P1754" s="51"/>
      <c r="T1754" s="51"/>
      <c r="V1754" s="51"/>
      <c r="X1754" s="51"/>
    </row>
    <row r="1755" spans="6:24">
      <c r="F1755" s="51"/>
      <c r="H1755" s="51"/>
      <c r="L1755" s="51"/>
      <c r="P1755" s="51"/>
      <c r="T1755" s="51"/>
      <c r="V1755" s="51"/>
      <c r="X1755" s="51"/>
    </row>
    <row r="1756" spans="6:24">
      <c r="F1756" s="51"/>
      <c r="H1756" s="51"/>
      <c r="L1756" s="51"/>
      <c r="P1756" s="51"/>
      <c r="T1756" s="51"/>
      <c r="V1756" s="51"/>
      <c r="X1756" s="51"/>
    </row>
    <row r="1757" spans="6:24">
      <c r="F1757" s="51"/>
      <c r="H1757" s="51"/>
      <c r="L1757" s="51"/>
      <c r="P1757" s="51"/>
      <c r="T1757" s="51"/>
      <c r="V1757" s="51"/>
      <c r="X1757" s="51"/>
    </row>
    <row r="1758" spans="6:24">
      <c r="F1758" s="51"/>
      <c r="H1758" s="51"/>
      <c r="L1758" s="51"/>
      <c r="P1758" s="51"/>
      <c r="T1758" s="51"/>
      <c r="V1758" s="51"/>
      <c r="X1758" s="51"/>
    </row>
    <row r="1759" spans="6:24">
      <c r="F1759" s="51"/>
      <c r="H1759" s="51"/>
      <c r="L1759" s="51"/>
      <c r="P1759" s="51"/>
      <c r="T1759" s="51"/>
      <c r="V1759" s="51"/>
      <c r="X1759" s="51"/>
    </row>
    <row r="1760" spans="6:24">
      <c r="F1760" s="51"/>
      <c r="H1760" s="51"/>
      <c r="L1760" s="51"/>
      <c r="P1760" s="51"/>
      <c r="T1760" s="51"/>
      <c r="V1760" s="51"/>
      <c r="X1760" s="51"/>
    </row>
    <row r="1761" spans="6:24">
      <c r="F1761" s="51"/>
      <c r="H1761" s="51"/>
      <c r="L1761" s="51"/>
      <c r="P1761" s="51"/>
      <c r="T1761" s="51"/>
      <c r="V1761" s="51"/>
      <c r="X1761" s="51"/>
    </row>
    <row r="1762" spans="6:24">
      <c r="F1762" s="51"/>
      <c r="H1762" s="51"/>
      <c r="L1762" s="51"/>
      <c r="P1762" s="51"/>
      <c r="T1762" s="51"/>
      <c r="V1762" s="51"/>
      <c r="X1762" s="51"/>
    </row>
    <row r="1763" spans="6:24">
      <c r="F1763" s="51"/>
      <c r="H1763" s="51"/>
      <c r="L1763" s="51"/>
      <c r="P1763" s="51"/>
      <c r="T1763" s="51"/>
      <c r="V1763" s="51"/>
      <c r="X1763" s="51"/>
    </row>
    <row r="1764" spans="6:24">
      <c r="F1764" s="51"/>
      <c r="H1764" s="51"/>
      <c r="L1764" s="51"/>
      <c r="P1764" s="51"/>
      <c r="T1764" s="51"/>
      <c r="V1764" s="51"/>
      <c r="X1764" s="51"/>
    </row>
    <row r="1765" spans="6:24">
      <c r="F1765" s="51"/>
      <c r="H1765" s="51"/>
      <c r="L1765" s="51"/>
      <c r="P1765" s="51"/>
      <c r="T1765" s="51"/>
      <c r="V1765" s="51"/>
      <c r="X1765" s="51"/>
    </row>
    <row r="1766" spans="6:24">
      <c r="F1766" s="51"/>
      <c r="H1766" s="51"/>
      <c r="L1766" s="51"/>
      <c r="P1766" s="51"/>
      <c r="T1766" s="51"/>
      <c r="V1766" s="51"/>
      <c r="X1766" s="51"/>
    </row>
    <row r="1767" spans="6:24">
      <c r="F1767" s="51"/>
      <c r="H1767" s="51"/>
      <c r="L1767" s="51"/>
      <c r="P1767" s="51"/>
      <c r="T1767" s="51"/>
      <c r="V1767" s="51"/>
      <c r="X1767" s="51"/>
    </row>
    <row r="1768" spans="6:24">
      <c r="F1768" s="51"/>
      <c r="H1768" s="51"/>
      <c r="L1768" s="51"/>
      <c r="P1768" s="51"/>
      <c r="T1768" s="51"/>
      <c r="V1768" s="51"/>
      <c r="X1768" s="51"/>
    </row>
    <row r="1769" spans="6:24">
      <c r="F1769" s="51"/>
      <c r="H1769" s="51"/>
      <c r="L1769" s="51"/>
      <c r="P1769" s="51"/>
      <c r="T1769" s="51"/>
      <c r="V1769" s="51"/>
      <c r="X1769" s="51"/>
    </row>
    <row r="1770" spans="6:24">
      <c r="F1770" s="51"/>
      <c r="H1770" s="51"/>
      <c r="L1770" s="51"/>
      <c r="P1770" s="51"/>
      <c r="T1770" s="51"/>
      <c r="V1770" s="51"/>
      <c r="X1770" s="51"/>
    </row>
    <row r="1771" spans="6:24">
      <c r="F1771" s="51"/>
      <c r="H1771" s="51"/>
      <c r="L1771" s="51"/>
      <c r="P1771" s="51"/>
      <c r="T1771" s="51"/>
      <c r="V1771" s="51"/>
      <c r="X1771" s="51"/>
    </row>
    <row r="1772" spans="6:24">
      <c r="F1772" s="51"/>
      <c r="H1772" s="51"/>
      <c r="L1772" s="51"/>
      <c r="P1772" s="51"/>
      <c r="T1772" s="51"/>
      <c r="V1772" s="51"/>
      <c r="X1772" s="51"/>
    </row>
    <row r="1773" spans="6:24">
      <c r="F1773" s="51"/>
      <c r="H1773" s="51"/>
      <c r="L1773" s="51"/>
      <c r="P1773" s="51"/>
      <c r="T1773" s="51"/>
      <c r="V1773" s="51"/>
      <c r="X1773" s="51"/>
    </row>
    <row r="1774" spans="6:24">
      <c r="F1774" s="51"/>
      <c r="H1774" s="51"/>
      <c r="L1774" s="51"/>
      <c r="P1774" s="51"/>
      <c r="T1774" s="51"/>
      <c r="V1774" s="51"/>
      <c r="X1774" s="51"/>
    </row>
    <row r="1775" spans="6:24">
      <c r="F1775" s="51"/>
      <c r="H1775" s="51"/>
      <c r="L1775" s="51"/>
      <c r="P1775" s="51"/>
      <c r="T1775" s="51"/>
      <c r="V1775" s="51"/>
      <c r="X1775" s="51"/>
    </row>
    <row r="1776" spans="6:24">
      <c r="F1776" s="51"/>
      <c r="H1776" s="51"/>
      <c r="L1776" s="51"/>
      <c r="P1776" s="51"/>
      <c r="T1776" s="51"/>
      <c r="V1776" s="51"/>
      <c r="X1776" s="51"/>
    </row>
    <row r="1777" spans="6:24">
      <c r="F1777" s="51"/>
      <c r="H1777" s="51"/>
      <c r="L1777" s="51"/>
      <c r="P1777" s="51"/>
      <c r="T1777" s="51"/>
      <c r="V1777" s="51"/>
      <c r="X1777" s="51"/>
    </row>
    <row r="1778" spans="6:24">
      <c r="F1778" s="51"/>
      <c r="H1778" s="51"/>
      <c r="L1778" s="51"/>
      <c r="P1778" s="51"/>
      <c r="T1778" s="51"/>
      <c r="V1778" s="51"/>
      <c r="X1778" s="51"/>
    </row>
    <row r="1779" spans="6:24">
      <c r="F1779" s="51"/>
      <c r="H1779" s="51"/>
      <c r="L1779" s="51"/>
      <c r="P1779" s="51"/>
      <c r="T1779" s="51"/>
      <c r="V1779" s="51"/>
      <c r="X1779" s="51"/>
    </row>
    <row r="1780" spans="6:24">
      <c r="F1780" s="51"/>
      <c r="H1780" s="51"/>
      <c r="L1780" s="51"/>
      <c r="P1780" s="51"/>
      <c r="T1780" s="51"/>
      <c r="V1780" s="51"/>
      <c r="X1780" s="51"/>
    </row>
    <row r="1781" spans="6:24">
      <c r="F1781" s="51"/>
      <c r="H1781" s="51"/>
      <c r="L1781" s="51"/>
      <c r="P1781" s="51"/>
      <c r="T1781" s="51"/>
      <c r="V1781" s="51"/>
      <c r="X1781" s="51"/>
    </row>
    <row r="1782" spans="6:24">
      <c r="F1782" s="51"/>
      <c r="H1782" s="51"/>
      <c r="L1782" s="51"/>
      <c r="P1782" s="51"/>
      <c r="T1782" s="51"/>
      <c r="V1782" s="51"/>
      <c r="X1782" s="51"/>
    </row>
    <row r="1783" spans="6:24">
      <c r="F1783" s="51"/>
      <c r="H1783" s="51"/>
      <c r="L1783" s="51"/>
      <c r="P1783" s="51"/>
      <c r="T1783" s="51"/>
      <c r="V1783" s="51"/>
      <c r="X1783" s="51"/>
    </row>
    <row r="1784" spans="6:24">
      <c r="F1784" s="51"/>
      <c r="H1784" s="51"/>
      <c r="L1784" s="51"/>
      <c r="P1784" s="51"/>
      <c r="T1784" s="51"/>
      <c r="V1784" s="51"/>
      <c r="X1784" s="51"/>
    </row>
    <row r="1785" spans="6:24">
      <c r="F1785" s="51"/>
      <c r="H1785" s="51"/>
      <c r="L1785" s="51"/>
      <c r="P1785" s="51"/>
      <c r="T1785" s="51"/>
      <c r="V1785" s="51"/>
      <c r="X1785" s="51"/>
    </row>
    <row r="1786" spans="6:24">
      <c r="F1786" s="51"/>
      <c r="H1786" s="51"/>
      <c r="L1786" s="51"/>
      <c r="P1786" s="51"/>
      <c r="T1786" s="51"/>
      <c r="V1786" s="51"/>
      <c r="X1786" s="51"/>
    </row>
    <row r="1787" spans="6:24">
      <c r="F1787" s="51"/>
      <c r="H1787" s="51"/>
      <c r="L1787" s="51"/>
      <c r="P1787" s="51"/>
      <c r="T1787" s="51"/>
      <c r="V1787" s="51"/>
      <c r="X1787" s="51"/>
    </row>
    <row r="1788" spans="6:24">
      <c r="F1788" s="51"/>
      <c r="H1788" s="51"/>
      <c r="L1788" s="51"/>
      <c r="P1788" s="51"/>
      <c r="T1788" s="51"/>
      <c r="V1788" s="51"/>
      <c r="X1788" s="51"/>
    </row>
    <row r="1789" spans="6:24">
      <c r="F1789" s="51"/>
      <c r="H1789" s="51"/>
      <c r="L1789" s="51"/>
      <c r="P1789" s="51"/>
      <c r="T1789" s="51"/>
      <c r="V1789" s="51"/>
      <c r="X1789" s="51"/>
    </row>
    <row r="1790" spans="6:24">
      <c r="F1790" s="51"/>
      <c r="H1790" s="51"/>
      <c r="L1790" s="51"/>
      <c r="P1790" s="51"/>
      <c r="T1790" s="51"/>
      <c r="V1790" s="51"/>
      <c r="X1790" s="51"/>
    </row>
    <row r="1791" spans="6:24">
      <c r="F1791" s="51"/>
      <c r="H1791" s="51"/>
      <c r="L1791" s="51"/>
      <c r="P1791" s="51"/>
      <c r="T1791" s="51"/>
      <c r="V1791" s="51"/>
      <c r="X1791" s="51"/>
    </row>
    <row r="1792" spans="6:24">
      <c r="F1792" s="51"/>
      <c r="H1792" s="51"/>
      <c r="L1792" s="51"/>
      <c r="P1792" s="51"/>
      <c r="T1792" s="51"/>
      <c r="V1792" s="51"/>
      <c r="X1792" s="51"/>
    </row>
    <row r="1793" spans="6:24">
      <c r="F1793" s="51"/>
      <c r="H1793" s="51"/>
      <c r="L1793" s="51"/>
      <c r="P1793" s="51"/>
      <c r="T1793" s="51"/>
      <c r="V1793" s="51"/>
      <c r="X1793" s="51"/>
    </row>
    <row r="1794" spans="6:24">
      <c r="F1794" s="51"/>
      <c r="H1794" s="51"/>
      <c r="L1794" s="51"/>
      <c r="P1794" s="51"/>
      <c r="T1794" s="51"/>
      <c r="V1794" s="51"/>
      <c r="X1794" s="51"/>
    </row>
    <row r="1795" spans="6:24">
      <c r="F1795" s="51"/>
      <c r="H1795" s="51"/>
      <c r="L1795" s="51"/>
      <c r="P1795" s="51"/>
      <c r="T1795" s="51"/>
      <c r="V1795" s="51"/>
      <c r="X1795" s="51"/>
    </row>
    <row r="1796" spans="6:24">
      <c r="F1796" s="51"/>
      <c r="H1796" s="51"/>
      <c r="L1796" s="51"/>
      <c r="P1796" s="51"/>
      <c r="T1796" s="51"/>
      <c r="V1796" s="51"/>
      <c r="X1796" s="51"/>
    </row>
    <row r="1797" spans="6:24">
      <c r="F1797" s="51"/>
      <c r="H1797" s="51"/>
      <c r="L1797" s="51"/>
      <c r="P1797" s="51"/>
      <c r="T1797" s="51"/>
      <c r="V1797" s="51"/>
      <c r="X1797" s="51"/>
    </row>
    <row r="1798" spans="6:24">
      <c r="F1798" s="51"/>
      <c r="H1798" s="51"/>
      <c r="L1798" s="51"/>
      <c r="P1798" s="51"/>
      <c r="T1798" s="51"/>
      <c r="V1798" s="51"/>
      <c r="X1798" s="51"/>
    </row>
    <row r="1799" spans="6:24">
      <c r="F1799" s="51"/>
      <c r="H1799" s="51"/>
      <c r="L1799" s="51"/>
      <c r="P1799" s="51"/>
      <c r="T1799" s="51"/>
      <c r="V1799" s="51"/>
      <c r="X1799" s="51"/>
    </row>
    <row r="1800" spans="6:24">
      <c r="F1800" s="51"/>
      <c r="H1800" s="51"/>
      <c r="L1800" s="51"/>
      <c r="P1800" s="51"/>
      <c r="T1800" s="51"/>
      <c r="V1800" s="51"/>
      <c r="X1800" s="51"/>
    </row>
    <row r="1801" spans="6:24">
      <c r="F1801" s="51"/>
      <c r="H1801" s="51"/>
      <c r="L1801" s="51"/>
      <c r="P1801" s="51"/>
      <c r="T1801" s="51"/>
      <c r="V1801" s="51"/>
      <c r="X1801" s="51"/>
    </row>
    <row r="1802" spans="6:24">
      <c r="F1802" s="51"/>
      <c r="H1802" s="51"/>
      <c r="L1802" s="51"/>
      <c r="P1802" s="51"/>
      <c r="T1802" s="51"/>
      <c r="V1802" s="51"/>
      <c r="X1802" s="51"/>
    </row>
    <row r="1803" spans="6:24">
      <c r="F1803" s="51"/>
      <c r="H1803" s="51"/>
      <c r="L1803" s="51"/>
      <c r="P1803" s="51"/>
      <c r="T1803" s="51"/>
      <c r="V1803" s="51"/>
      <c r="X1803" s="51"/>
    </row>
    <row r="1804" spans="6:24">
      <c r="F1804" s="51"/>
      <c r="H1804" s="51"/>
      <c r="L1804" s="51"/>
      <c r="P1804" s="51"/>
      <c r="T1804" s="51"/>
      <c r="V1804" s="51"/>
      <c r="X1804" s="51"/>
    </row>
    <row r="1805" spans="6:24">
      <c r="F1805" s="51"/>
      <c r="H1805" s="51"/>
      <c r="L1805" s="51"/>
      <c r="P1805" s="51"/>
      <c r="T1805" s="51"/>
      <c r="V1805" s="51"/>
      <c r="X1805" s="51"/>
    </row>
    <row r="1806" spans="6:24">
      <c r="F1806" s="51"/>
      <c r="H1806" s="51"/>
      <c r="L1806" s="51"/>
      <c r="P1806" s="51"/>
      <c r="T1806" s="51"/>
      <c r="V1806" s="51"/>
      <c r="X1806" s="51"/>
    </row>
    <row r="1807" spans="6:24">
      <c r="F1807" s="51"/>
      <c r="H1807" s="51"/>
      <c r="L1807" s="51"/>
      <c r="P1807" s="51"/>
      <c r="T1807" s="51"/>
      <c r="V1807" s="51"/>
      <c r="X1807" s="51"/>
    </row>
    <row r="1808" spans="6:24">
      <c r="F1808" s="51"/>
      <c r="H1808" s="51"/>
      <c r="L1808" s="51"/>
      <c r="P1808" s="51"/>
      <c r="T1808" s="51"/>
      <c r="V1808" s="51"/>
      <c r="X1808" s="51"/>
    </row>
    <row r="1809" spans="6:24">
      <c r="F1809" s="51"/>
      <c r="H1809" s="51"/>
      <c r="L1809" s="51"/>
      <c r="P1809" s="51"/>
      <c r="T1809" s="51"/>
      <c r="V1809" s="51"/>
      <c r="X1809" s="51"/>
    </row>
    <row r="1810" spans="6:24">
      <c r="F1810" s="51"/>
      <c r="H1810" s="51"/>
      <c r="L1810" s="51"/>
      <c r="P1810" s="51"/>
      <c r="T1810" s="51"/>
      <c r="V1810" s="51"/>
      <c r="X1810" s="51"/>
    </row>
    <row r="1811" spans="6:24">
      <c r="F1811" s="51"/>
      <c r="H1811" s="51"/>
      <c r="L1811" s="51"/>
      <c r="P1811" s="51"/>
      <c r="T1811" s="51"/>
      <c r="V1811" s="51"/>
      <c r="X1811" s="51"/>
    </row>
    <row r="1812" spans="6:24">
      <c r="F1812" s="51"/>
      <c r="H1812" s="51"/>
      <c r="L1812" s="51"/>
      <c r="P1812" s="51"/>
      <c r="T1812" s="51"/>
      <c r="V1812" s="51"/>
      <c r="X1812" s="51"/>
    </row>
    <row r="1813" spans="6:24">
      <c r="F1813" s="51"/>
      <c r="H1813" s="51"/>
      <c r="L1813" s="51"/>
      <c r="P1813" s="51"/>
      <c r="T1813" s="51"/>
      <c r="V1813" s="51"/>
      <c r="X1813" s="51"/>
    </row>
    <row r="1814" spans="6:24">
      <c r="F1814" s="51"/>
      <c r="H1814" s="51"/>
      <c r="L1814" s="51"/>
      <c r="P1814" s="51"/>
      <c r="T1814" s="51"/>
      <c r="V1814" s="51"/>
      <c r="X1814" s="51"/>
    </row>
    <row r="1815" spans="6:24">
      <c r="F1815" s="51"/>
      <c r="H1815" s="51"/>
      <c r="L1815" s="51"/>
      <c r="P1815" s="51"/>
      <c r="T1815" s="51"/>
      <c r="V1815" s="51"/>
      <c r="X1815" s="51"/>
    </row>
    <row r="1816" spans="6:24">
      <c r="F1816" s="51"/>
      <c r="H1816" s="51"/>
      <c r="L1816" s="51"/>
      <c r="P1816" s="51"/>
      <c r="T1816" s="51"/>
      <c r="V1816" s="51"/>
      <c r="X1816" s="51"/>
    </row>
    <row r="1817" spans="6:24">
      <c r="F1817" s="51"/>
      <c r="H1817" s="51"/>
      <c r="L1817" s="51"/>
      <c r="P1817" s="51"/>
      <c r="T1817" s="51"/>
      <c r="V1817" s="51"/>
      <c r="X1817" s="51"/>
    </row>
    <row r="1818" spans="6:24">
      <c r="F1818" s="51"/>
      <c r="H1818" s="51"/>
      <c r="L1818" s="51"/>
      <c r="P1818" s="51"/>
      <c r="T1818" s="51"/>
      <c r="V1818" s="51"/>
      <c r="X1818" s="51"/>
    </row>
    <row r="1819" spans="6:24">
      <c r="F1819" s="51"/>
      <c r="H1819" s="51"/>
      <c r="L1819" s="51"/>
      <c r="P1819" s="51"/>
      <c r="T1819" s="51"/>
      <c r="V1819" s="51"/>
      <c r="X1819" s="51"/>
    </row>
    <row r="1820" spans="6:24">
      <c r="F1820" s="51"/>
      <c r="H1820" s="51"/>
      <c r="L1820" s="51"/>
      <c r="P1820" s="51"/>
      <c r="T1820" s="51"/>
      <c r="V1820" s="51"/>
      <c r="X1820" s="51"/>
    </row>
    <row r="1821" spans="6:24">
      <c r="F1821" s="51"/>
      <c r="H1821" s="51"/>
      <c r="L1821" s="51"/>
      <c r="P1821" s="51"/>
      <c r="T1821" s="51"/>
      <c r="V1821" s="51"/>
      <c r="X1821" s="51"/>
    </row>
    <row r="1822" spans="6:24">
      <c r="F1822" s="51"/>
      <c r="H1822" s="51"/>
      <c r="L1822" s="51"/>
      <c r="P1822" s="51"/>
      <c r="T1822" s="51"/>
      <c r="V1822" s="51"/>
      <c r="X1822" s="51"/>
    </row>
    <row r="1823" spans="6:24">
      <c r="F1823" s="51"/>
      <c r="H1823" s="51"/>
      <c r="L1823" s="51"/>
      <c r="P1823" s="51"/>
      <c r="T1823" s="51"/>
      <c r="V1823" s="51"/>
      <c r="X1823" s="51"/>
    </row>
    <row r="1824" spans="6:24">
      <c r="F1824" s="51"/>
      <c r="H1824" s="51"/>
      <c r="L1824" s="51"/>
      <c r="P1824" s="51"/>
      <c r="T1824" s="51"/>
      <c r="V1824" s="51"/>
      <c r="X1824" s="51"/>
    </row>
    <row r="1825" spans="6:24">
      <c r="F1825" s="51"/>
      <c r="H1825" s="51"/>
      <c r="L1825" s="51"/>
      <c r="P1825" s="51"/>
      <c r="T1825" s="51"/>
      <c r="V1825" s="51"/>
      <c r="X1825" s="51"/>
    </row>
    <row r="1826" spans="6:24">
      <c r="F1826" s="51"/>
      <c r="H1826" s="51"/>
      <c r="L1826" s="51"/>
      <c r="P1826" s="51"/>
      <c r="T1826" s="51"/>
      <c r="V1826" s="51"/>
      <c r="X1826" s="51"/>
    </row>
    <row r="1827" spans="6:24">
      <c r="F1827" s="51"/>
      <c r="H1827" s="51"/>
      <c r="L1827" s="51"/>
      <c r="P1827" s="51"/>
      <c r="T1827" s="51"/>
      <c r="V1827" s="51"/>
      <c r="X1827" s="51"/>
    </row>
    <row r="1828" spans="6:24">
      <c r="F1828" s="51"/>
      <c r="H1828" s="51"/>
      <c r="L1828" s="51"/>
      <c r="P1828" s="51"/>
      <c r="T1828" s="51"/>
      <c r="V1828" s="51"/>
      <c r="X1828" s="51"/>
    </row>
    <row r="1829" spans="6:24">
      <c r="F1829" s="51"/>
      <c r="H1829" s="51"/>
      <c r="L1829" s="51"/>
      <c r="P1829" s="51"/>
      <c r="T1829" s="51"/>
      <c r="V1829" s="51"/>
      <c r="X1829" s="51"/>
    </row>
    <row r="1830" spans="6:24">
      <c r="F1830" s="51"/>
      <c r="H1830" s="51"/>
      <c r="L1830" s="51"/>
      <c r="P1830" s="51"/>
      <c r="T1830" s="51"/>
      <c r="V1830" s="51"/>
      <c r="X1830" s="51"/>
    </row>
    <row r="1831" spans="6:24">
      <c r="F1831" s="51"/>
      <c r="H1831" s="51"/>
      <c r="L1831" s="51"/>
      <c r="P1831" s="51"/>
      <c r="T1831" s="51"/>
      <c r="V1831" s="51"/>
      <c r="X1831" s="51"/>
    </row>
    <row r="1832" spans="6:24">
      <c r="F1832" s="51"/>
      <c r="H1832" s="51"/>
      <c r="L1832" s="51"/>
      <c r="P1832" s="51"/>
      <c r="T1832" s="51"/>
      <c r="V1832" s="51"/>
      <c r="X1832" s="51"/>
    </row>
    <row r="1833" spans="6:24">
      <c r="F1833" s="51"/>
      <c r="H1833" s="51"/>
      <c r="L1833" s="51"/>
      <c r="P1833" s="51"/>
      <c r="T1833" s="51"/>
      <c r="V1833" s="51"/>
      <c r="X1833" s="51"/>
    </row>
    <row r="1834" spans="6:24">
      <c r="F1834" s="51"/>
      <c r="H1834" s="51"/>
      <c r="L1834" s="51"/>
      <c r="P1834" s="51"/>
      <c r="T1834" s="51"/>
      <c r="V1834" s="51"/>
      <c r="X1834" s="51"/>
    </row>
    <row r="1835" spans="6:24">
      <c r="F1835" s="51"/>
      <c r="H1835" s="51"/>
      <c r="L1835" s="51"/>
      <c r="P1835" s="51"/>
      <c r="T1835" s="51"/>
      <c r="V1835" s="51"/>
      <c r="X1835" s="51"/>
    </row>
    <row r="1836" spans="6:24">
      <c r="F1836" s="51"/>
      <c r="H1836" s="51"/>
      <c r="L1836" s="51"/>
      <c r="P1836" s="51"/>
      <c r="T1836" s="51"/>
      <c r="V1836" s="51"/>
      <c r="X1836" s="51"/>
    </row>
    <row r="1837" spans="6:24">
      <c r="F1837" s="51"/>
      <c r="H1837" s="51"/>
      <c r="L1837" s="51"/>
      <c r="P1837" s="51"/>
      <c r="T1837" s="51"/>
      <c r="V1837" s="51"/>
      <c r="X1837" s="51"/>
    </row>
    <row r="1838" spans="6:24">
      <c r="F1838" s="51"/>
      <c r="H1838" s="51"/>
      <c r="L1838" s="51"/>
      <c r="P1838" s="51"/>
      <c r="T1838" s="51"/>
      <c r="V1838" s="51"/>
      <c r="X1838" s="51"/>
    </row>
    <row r="1839" spans="6:24">
      <c r="F1839" s="51"/>
      <c r="H1839" s="51"/>
      <c r="L1839" s="51"/>
      <c r="P1839" s="51"/>
      <c r="T1839" s="51"/>
      <c r="V1839" s="51"/>
      <c r="X1839" s="51"/>
    </row>
    <row r="1840" spans="6:24">
      <c r="F1840" s="51"/>
      <c r="H1840" s="51"/>
      <c r="L1840" s="51"/>
      <c r="P1840" s="51"/>
      <c r="T1840" s="51"/>
      <c r="V1840" s="51"/>
      <c r="X1840" s="51"/>
    </row>
    <row r="1841" spans="6:24">
      <c r="F1841" s="51"/>
      <c r="H1841" s="51"/>
      <c r="L1841" s="51"/>
      <c r="P1841" s="51"/>
      <c r="T1841" s="51"/>
      <c r="V1841" s="51"/>
      <c r="X1841" s="51"/>
    </row>
    <row r="1842" spans="6:24">
      <c r="F1842" s="51"/>
      <c r="H1842" s="51"/>
      <c r="L1842" s="51"/>
      <c r="P1842" s="51"/>
      <c r="T1842" s="51"/>
      <c r="V1842" s="51"/>
      <c r="X1842" s="51"/>
    </row>
    <row r="1843" spans="6:24">
      <c r="F1843" s="51"/>
      <c r="H1843" s="51"/>
      <c r="L1843" s="51"/>
      <c r="P1843" s="51"/>
      <c r="T1843" s="51"/>
      <c r="V1843" s="51"/>
      <c r="X1843" s="51"/>
    </row>
    <row r="1844" spans="6:24">
      <c r="F1844" s="51"/>
      <c r="H1844" s="51"/>
      <c r="L1844" s="51"/>
      <c r="P1844" s="51"/>
      <c r="T1844" s="51"/>
      <c r="V1844" s="51"/>
      <c r="X1844" s="51"/>
    </row>
    <row r="1845" spans="6:24">
      <c r="F1845" s="51"/>
      <c r="H1845" s="51"/>
      <c r="L1845" s="51"/>
      <c r="P1845" s="51"/>
      <c r="T1845" s="51"/>
      <c r="V1845" s="51"/>
      <c r="X1845" s="51"/>
    </row>
    <row r="1846" spans="6:24">
      <c r="F1846" s="51"/>
      <c r="H1846" s="51"/>
      <c r="L1846" s="51"/>
      <c r="P1846" s="51"/>
      <c r="T1846" s="51"/>
      <c r="V1846" s="51"/>
      <c r="X1846" s="51"/>
    </row>
    <row r="1847" spans="6:24">
      <c r="F1847" s="51"/>
      <c r="H1847" s="51"/>
      <c r="L1847" s="51"/>
      <c r="P1847" s="51"/>
      <c r="T1847" s="51"/>
      <c r="V1847" s="51"/>
      <c r="X1847" s="51"/>
    </row>
    <row r="1848" spans="6:24">
      <c r="F1848" s="51"/>
      <c r="H1848" s="51"/>
      <c r="L1848" s="51"/>
      <c r="P1848" s="51"/>
      <c r="T1848" s="51"/>
      <c r="V1848" s="51"/>
      <c r="X1848" s="51"/>
    </row>
    <row r="1849" spans="6:24">
      <c r="F1849" s="51"/>
      <c r="H1849" s="51"/>
      <c r="L1849" s="51"/>
      <c r="P1849" s="51"/>
      <c r="T1849" s="51"/>
      <c r="V1849" s="51"/>
      <c r="X1849" s="51"/>
    </row>
    <row r="1850" spans="6:24">
      <c r="F1850" s="51"/>
      <c r="H1850" s="51"/>
      <c r="L1850" s="51"/>
      <c r="P1850" s="51"/>
      <c r="T1850" s="51"/>
      <c r="V1850" s="51"/>
      <c r="X1850" s="51"/>
    </row>
    <row r="1851" spans="6:24">
      <c r="F1851" s="51"/>
      <c r="H1851" s="51"/>
      <c r="L1851" s="51"/>
      <c r="P1851" s="51"/>
      <c r="T1851" s="51"/>
      <c r="V1851" s="51"/>
      <c r="X1851" s="51"/>
    </row>
    <row r="1852" spans="6:24">
      <c r="F1852" s="51"/>
      <c r="H1852" s="51"/>
      <c r="L1852" s="51"/>
      <c r="P1852" s="51"/>
      <c r="T1852" s="51"/>
      <c r="V1852" s="51"/>
      <c r="X1852" s="51"/>
    </row>
    <row r="1853" spans="6:24">
      <c r="F1853" s="51"/>
      <c r="H1853" s="51"/>
      <c r="L1853" s="51"/>
      <c r="P1853" s="51"/>
      <c r="T1853" s="51"/>
      <c r="V1853" s="51"/>
      <c r="X1853" s="51"/>
    </row>
    <row r="1854" spans="6:24">
      <c r="F1854" s="51"/>
      <c r="H1854" s="51"/>
      <c r="L1854" s="51"/>
      <c r="P1854" s="51"/>
      <c r="T1854" s="51"/>
      <c r="V1854" s="51"/>
      <c r="X1854" s="51"/>
    </row>
    <row r="1855" spans="6:24">
      <c r="F1855" s="51"/>
      <c r="H1855" s="51"/>
      <c r="L1855" s="51"/>
      <c r="P1855" s="51"/>
      <c r="T1855" s="51"/>
      <c r="V1855" s="51"/>
      <c r="X1855" s="51"/>
    </row>
    <row r="1856" spans="6:24">
      <c r="F1856" s="51"/>
      <c r="H1856" s="51"/>
      <c r="L1856" s="51"/>
      <c r="P1856" s="51"/>
      <c r="T1856" s="51"/>
      <c r="V1856" s="51"/>
      <c r="X1856" s="51"/>
    </row>
    <row r="1857" spans="6:24">
      <c r="F1857" s="51"/>
      <c r="H1857" s="51"/>
      <c r="L1857" s="51"/>
      <c r="P1857" s="51"/>
      <c r="T1857" s="51"/>
      <c r="V1857" s="51"/>
      <c r="X1857" s="51"/>
    </row>
    <row r="1858" spans="6:24">
      <c r="F1858" s="51"/>
      <c r="H1858" s="51"/>
      <c r="L1858" s="51"/>
      <c r="P1858" s="51"/>
      <c r="T1858" s="51"/>
      <c r="V1858" s="51"/>
      <c r="X1858" s="51"/>
    </row>
    <row r="1859" spans="6:24">
      <c r="F1859" s="51"/>
      <c r="H1859" s="51"/>
      <c r="L1859" s="51"/>
      <c r="P1859" s="51"/>
      <c r="T1859" s="51"/>
      <c r="V1859" s="51"/>
      <c r="X1859" s="51"/>
    </row>
    <row r="1860" spans="6:24">
      <c r="F1860" s="51"/>
      <c r="H1860" s="51"/>
      <c r="L1860" s="51"/>
      <c r="P1860" s="51"/>
      <c r="T1860" s="51"/>
      <c r="V1860" s="51"/>
      <c r="X1860" s="51"/>
    </row>
    <row r="1861" spans="6:24">
      <c r="F1861" s="51"/>
      <c r="H1861" s="51"/>
      <c r="L1861" s="51"/>
      <c r="P1861" s="51"/>
      <c r="T1861" s="51"/>
      <c r="V1861" s="51"/>
      <c r="X1861" s="51"/>
    </row>
    <row r="1862" spans="6:24">
      <c r="F1862" s="51"/>
      <c r="H1862" s="51"/>
      <c r="L1862" s="51"/>
      <c r="P1862" s="51"/>
      <c r="T1862" s="51"/>
      <c r="V1862" s="51"/>
      <c r="X1862" s="51"/>
    </row>
    <row r="1863" spans="6:24">
      <c r="F1863" s="51"/>
      <c r="H1863" s="51"/>
      <c r="L1863" s="51"/>
      <c r="P1863" s="51"/>
      <c r="T1863" s="51"/>
      <c r="V1863" s="51"/>
      <c r="X1863" s="51"/>
    </row>
    <row r="1864" spans="6:24">
      <c r="F1864" s="51"/>
      <c r="H1864" s="51"/>
      <c r="L1864" s="51"/>
      <c r="P1864" s="51"/>
      <c r="T1864" s="51"/>
      <c r="V1864" s="51"/>
      <c r="X1864" s="51"/>
    </row>
    <row r="1865" spans="6:24">
      <c r="F1865" s="51"/>
      <c r="H1865" s="51"/>
      <c r="L1865" s="51"/>
      <c r="P1865" s="51"/>
      <c r="T1865" s="51"/>
      <c r="V1865" s="51"/>
      <c r="X1865" s="51"/>
    </row>
    <row r="1866" spans="6:24">
      <c r="F1866" s="51"/>
      <c r="H1866" s="51"/>
      <c r="L1866" s="51"/>
      <c r="P1866" s="51"/>
      <c r="T1866" s="51"/>
      <c r="V1866" s="51"/>
      <c r="X1866" s="51"/>
    </row>
    <row r="1867" spans="6:24">
      <c r="F1867" s="51"/>
      <c r="H1867" s="51"/>
      <c r="L1867" s="51"/>
      <c r="P1867" s="51"/>
      <c r="T1867" s="51"/>
      <c r="V1867" s="51"/>
      <c r="X1867" s="51"/>
    </row>
    <row r="1868" spans="6:24">
      <c r="F1868" s="51"/>
      <c r="H1868" s="51"/>
      <c r="L1868" s="51"/>
      <c r="P1868" s="51"/>
      <c r="T1868" s="51"/>
      <c r="V1868" s="51"/>
      <c r="X1868" s="51"/>
    </row>
    <row r="1869" spans="6:24">
      <c r="F1869" s="51"/>
      <c r="H1869" s="51"/>
      <c r="L1869" s="51"/>
      <c r="P1869" s="51"/>
      <c r="T1869" s="51"/>
      <c r="V1869" s="51"/>
      <c r="X1869" s="51"/>
    </row>
    <row r="1870" spans="6:24">
      <c r="F1870" s="51"/>
      <c r="H1870" s="51"/>
      <c r="L1870" s="51"/>
      <c r="P1870" s="51"/>
      <c r="T1870" s="51"/>
      <c r="V1870" s="51"/>
      <c r="X1870" s="51"/>
    </row>
    <row r="1871" spans="6:24">
      <c r="F1871" s="51"/>
      <c r="H1871" s="51"/>
      <c r="L1871" s="51"/>
      <c r="P1871" s="51"/>
      <c r="T1871" s="51"/>
      <c r="V1871" s="51"/>
      <c r="X1871" s="51"/>
    </row>
    <row r="1872" spans="6:24">
      <c r="F1872" s="51"/>
      <c r="H1872" s="51"/>
      <c r="L1872" s="51"/>
      <c r="P1872" s="51"/>
      <c r="T1872" s="51"/>
      <c r="V1872" s="51"/>
      <c r="X1872" s="51"/>
    </row>
    <row r="1873" spans="6:24">
      <c r="F1873" s="51"/>
      <c r="H1873" s="51"/>
      <c r="L1873" s="51"/>
      <c r="P1873" s="51"/>
      <c r="T1873" s="51"/>
      <c r="V1873" s="51"/>
      <c r="X1873" s="51"/>
    </row>
    <row r="1874" spans="6:24">
      <c r="F1874" s="51"/>
      <c r="H1874" s="51"/>
      <c r="L1874" s="51"/>
      <c r="P1874" s="51"/>
      <c r="T1874" s="51"/>
      <c r="V1874" s="51"/>
      <c r="X1874" s="51"/>
    </row>
    <row r="1875" spans="6:24">
      <c r="F1875" s="51"/>
      <c r="H1875" s="51"/>
      <c r="L1875" s="51"/>
      <c r="P1875" s="51"/>
      <c r="T1875" s="51"/>
      <c r="V1875" s="51"/>
      <c r="X1875" s="51"/>
    </row>
    <row r="1876" spans="6:24">
      <c r="F1876" s="51"/>
      <c r="H1876" s="51"/>
      <c r="L1876" s="51"/>
      <c r="P1876" s="51"/>
      <c r="T1876" s="51"/>
      <c r="V1876" s="51"/>
      <c r="X1876" s="51"/>
    </row>
    <row r="1877" spans="6:24">
      <c r="F1877" s="51"/>
      <c r="H1877" s="51"/>
      <c r="L1877" s="51"/>
      <c r="P1877" s="51"/>
      <c r="T1877" s="51"/>
      <c r="V1877" s="51"/>
      <c r="X1877" s="51"/>
    </row>
    <row r="1878" spans="6:24">
      <c r="F1878" s="51"/>
      <c r="H1878" s="51"/>
      <c r="L1878" s="51"/>
      <c r="P1878" s="51"/>
      <c r="T1878" s="51"/>
      <c r="V1878" s="51"/>
      <c r="X1878" s="51"/>
    </row>
    <row r="1879" spans="6:24">
      <c r="F1879" s="51"/>
      <c r="H1879" s="51"/>
      <c r="L1879" s="51"/>
      <c r="P1879" s="51"/>
      <c r="T1879" s="51"/>
      <c r="V1879" s="51"/>
      <c r="X1879" s="51"/>
    </row>
    <row r="1880" spans="6:24">
      <c r="F1880" s="51"/>
      <c r="H1880" s="51"/>
      <c r="L1880" s="51"/>
      <c r="P1880" s="51"/>
      <c r="T1880" s="51"/>
      <c r="V1880" s="51"/>
      <c r="X1880" s="51"/>
    </row>
    <row r="1881" spans="6:24">
      <c r="F1881" s="51"/>
      <c r="H1881" s="51"/>
      <c r="L1881" s="51"/>
      <c r="P1881" s="51"/>
      <c r="T1881" s="51"/>
      <c r="V1881" s="51"/>
      <c r="X1881" s="51"/>
    </row>
    <row r="1882" spans="6:24">
      <c r="F1882" s="51"/>
      <c r="H1882" s="51"/>
      <c r="L1882" s="51"/>
      <c r="P1882" s="51"/>
      <c r="T1882" s="51"/>
      <c r="V1882" s="51"/>
      <c r="X1882" s="51"/>
    </row>
    <row r="1883" spans="6:24">
      <c r="F1883" s="51"/>
      <c r="H1883" s="51"/>
      <c r="L1883" s="51"/>
      <c r="P1883" s="51"/>
      <c r="T1883" s="51"/>
      <c r="V1883" s="51"/>
      <c r="X1883" s="51"/>
    </row>
    <row r="1884" spans="6:24">
      <c r="F1884" s="51"/>
      <c r="H1884" s="51"/>
      <c r="L1884" s="51"/>
      <c r="P1884" s="51"/>
      <c r="T1884" s="51"/>
      <c r="V1884" s="51"/>
      <c r="X1884" s="51"/>
    </row>
    <row r="1885" spans="6:24">
      <c r="F1885" s="51"/>
      <c r="H1885" s="51"/>
      <c r="L1885" s="51"/>
      <c r="P1885" s="51"/>
      <c r="T1885" s="51"/>
      <c r="V1885" s="51"/>
      <c r="X1885" s="51"/>
    </row>
    <row r="1886" spans="6:24">
      <c r="F1886" s="51"/>
      <c r="H1886" s="51"/>
      <c r="L1886" s="51"/>
      <c r="P1886" s="51"/>
      <c r="T1886" s="51"/>
      <c r="V1886" s="51"/>
      <c r="X1886" s="51"/>
    </row>
    <row r="1887" spans="6:24">
      <c r="F1887" s="51"/>
      <c r="H1887" s="51"/>
      <c r="L1887" s="51"/>
      <c r="P1887" s="51"/>
      <c r="T1887" s="51"/>
      <c r="V1887" s="51"/>
      <c r="X1887" s="51"/>
    </row>
    <row r="1888" spans="6:24">
      <c r="F1888" s="51"/>
      <c r="H1888" s="51"/>
      <c r="L1888" s="51"/>
      <c r="P1888" s="51"/>
      <c r="T1888" s="51"/>
      <c r="V1888" s="51"/>
      <c r="X1888" s="51"/>
    </row>
    <row r="1889" spans="6:24">
      <c r="F1889" s="51"/>
      <c r="H1889" s="51"/>
      <c r="L1889" s="51"/>
      <c r="P1889" s="51"/>
      <c r="T1889" s="51"/>
      <c r="V1889" s="51"/>
      <c r="X1889" s="51"/>
    </row>
    <row r="1890" spans="6:24">
      <c r="F1890" s="51"/>
      <c r="H1890" s="51"/>
      <c r="L1890" s="51"/>
      <c r="P1890" s="51"/>
      <c r="T1890" s="51"/>
      <c r="V1890" s="51"/>
      <c r="X1890" s="51"/>
    </row>
    <row r="1891" spans="6:24">
      <c r="F1891" s="51"/>
      <c r="H1891" s="51"/>
      <c r="L1891" s="51"/>
      <c r="P1891" s="51"/>
      <c r="T1891" s="51"/>
      <c r="V1891" s="51"/>
      <c r="X1891" s="51"/>
    </row>
    <row r="1892" spans="6:24">
      <c r="F1892" s="51"/>
      <c r="H1892" s="51"/>
      <c r="L1892" s="51"/>
      <c r="P1892" s="51"/>
      <c r="T1892" s="51"/>
      <c r="V1892" s="51"/>
      <c r="X1892" s="51"/>
    </row>
    <row r="1893" spans="6:24">
      <c r="F1893" s="51"/>
      <c r="H1893" s="51"/>
      <c r="L1893" s="51"/>
      <c r="P1893" s="51"/>
      <c r="T1893" s="51"/>
      <c r="V1893" s="51"/>
      <c r="X1893" s="51"/>
    </row>
    <row r="1894" spans="6:24">
      <c r="F1894" s="51"/>
      <c r="H1894" s="51"/>
      <c r="L1894" s="51"/>
      <c r="P1894" s="51"/>
      <c r="T1894" s="51"/>
      <c r="V1894" s="51"/>
      <c r="X1894" s="51"/>
    </row>
    <row r="1895" spans="6:24">
      <c r="F1895" s="51"/>
      <c r="H1895" s="51"/>
      <c r="L1895" s="51"/>
      <c r="P1895" s="51"/>
      <c r="T1895" s="51"/>
      <c r="V1895" s="51"/>
      <c r="X1895" s="51"/>
    </row>
    <row r="1896" spans="6:24">
      <c r="F1896" s="51"/>
      <c r="H1896" s="51"/>
      <c r="L1896" s="51"/>
      <c r="P1896" s="51"/>
      <c r="T1896" s="51"/>
      <c r="V1896" s="51"/>
      <c r="X1896" s="51"/>
    </row>
    <row r="1897" spans="6:24">
      <c r="F1897" s="51"/>
      <c r="H1897" s="51"/>
      <c r="L1897" s="51"/>
      <c r="P1897" s="51"/>
      <c r="T1897" s="51"/>
      <c r="V1897" s="51"/>
      <c r="X1897" s="51"/>
    </row>
    <row r="1898" spans="6:24">
      <c r="F1898" s="51"/>
      <c r="H1898" s="51"/>
      <c r="L1898" s="51"/>
      <c r="P1898" s="51"/>
      <c r="T1898" s="51"/>
      <c r="V1898" s="51"/>
      <c r="X1898" s="51"/>
    </row>
    <row r="1899" spans="6:24">
      <c r="F1899" s="51"/>
      <c r="H1899" s="51"/>
      <c r="L1899" s="51"/>
      <c r="P1899" s="51"/>
      <c r="T1899" s="51"/>
      <c r="V1899" s="51"/>
      <c r="X1899" s="51"/>
    </row>
    <row r="1900" spans="6:24">
      <c r="F1900" s="51"/>
      <c r="H1900" s="51"/>
      <c r="L1900" s="51"/>
      <c r="P1900" s="51"/>
      <c r="T1900" s="51"/>
      <c r="V1900" s="51"/>
      <c r="X1900" s="51"/>
    </row>
    <row r="1901" spans="6:24">
      <c r="F1901" s="51"/>
      <c r="H1901" s="51"/>
      <c r="L1901" s="51"/>
      <c r="P1901" s="51"/>
      <c r="T1901" s="51"/>
      <c r="V1901" s="51"/>
      <c r="X1901" s="51"/>
    </row>
    <row r="1902" spans="6:24">
      <c r="F1902" s="51"/>
      <c r="H1902" s="51"/>
      <c r="L1902" s="51"/>
      <c r="P1902" s="51"/>
      <c r="T1902" s="51"/>
      <c r="V1902" s="51"/>
      <c r="X1902" s="51"/>
    </row>
    <row r="1903" spans="6:24">
      <c r="F1903" s="51"/>
      <c r="H1903" s="51"/>
      <c r="L1903" s="51"/>
      <c r="P1903" s="51"/>
      <c r="T1903" s="51"/>
      <c r="V1903" s="51"/>
      <c r="X1903" s="51"/>
    </row>
    <row r="1904" spans="6:24">
      <c r="F1904" s="51"/>
      <c r="H1904" s="51"/>
      <c r="L1904" s="51"/>
      <c r="P1904" s="51"/>
      <c r="T1904" s="51"/>
      <c r="V1904" s="51"/>
      <c r="X1904" s="51"/>
    </row>
    <row r="1905" spans="6:24">
      <c r="F1905" s="51"/>
      <c r="H1905" s="51"/>
      <c r="L1905" s="51"/>
      <c r="P1905" s="51"/>
      <c r="T1905" s="51"/>
      <c r="V1905" s="51"/>
      <c r="X1905" s="51"/>
    </row>
    <row r="1906" spans="6:24">
      <c r="F1906" s="51"/>
      <c r="H1906" s="51"/>
      <c r="L1906" s="51"/>
      <c r="P1906" s="51"/>
      <c r="T1906" s="51"/>
      <c r="V1906" s="51"/>
      <c r="X1906" s="51"/>
    </row>
    <row r="1907" spans="6:24">
      <c r="F1907" s="51"/>
      <c r="H1907" s="51"/>
      <c r="L1907" s="51"/>
      <c r="P1907" s="51"/>
      <c r="T1907" s="51"/>
      <c r="V1907" s="51"/>
      <c r="X1907" s="51"/>
    </row>
    <row r="1908" spans="6:24">
      <c r="F1908" s="51"/>
      <c r="H1908" s="51"/>
      <c r="L1908" s="51"/>
      <c r="P1908" s="51"/>
      <c r="T1908" s="51"/>
      <c r="V1908" s="51"/>
      <c r="X1908" s="51"/>
    </row>
    <row r="1909" spans="6:24">
      <c r="F1909" s="51"/>
      <c r="H1909" s="51"/>
      <c r="L1909" s="51"/>
      <c r="P1909" s="51"/>
      <c r="T1909" s="51"/>
      <c r="V1909" s="51"/>
      <c r="X1909" s="51"/>
    </row>
    <row r="1910" spans="6:24">
      <c r="F1910" s="51"/>
      <c r="H1910" s="51"/>
      <c r="L1910" s="51"/>
      <c r="P1910" s="51"/>
      <c r="T1910" s="51"/>
      <c r="V1910" s="51"/>
      <c r="X1910" s="51"/>
    </row>
    <row r="1911" spans="6:24">
      <c r="F1911" s="51"/>
      <c r="H1911" s="51"/>
      <c r="L1911" s="51"/>
      <c r="P1911" s="51"/>
      <c r="T1911" s="51"/>
      <c r="V1911" s="51"/>
      <c r="X1911" s="51"/>
    </row>
    <row r="1912" spans="6:24">
      <c r="F1912" s="51"/>
      <c r="H1912" s="51"/>
      <c r="L1912" s="51"/>
      <c r="P1912" s="51"/>
      <c r="T1912" s="51"/>
      <c r="V1912" s="51"/>
      <c r="X1912" s="51"/>
    </row>
    <row r="1913" spans="6:24">
      <c r="F1913" s="51"/>
      <c r="H1913" s="51"/>
      <c r="L1913" s="51"/>
      <c r="P1913" s="51"/>
      <c r="T1913" s="51"/>
      <c r="V1913" s="51"/>
      <c r="X1913" s="51"/>
    </row>
    <row r="1914" spans="6:24">
      <c r="F1914" s="51"/>
      <c r="H1914" s="51"/>
      <c r="L1914" s="51"/>
      <c r="P1914" s="51"/>
      <c r="T1914" s="51"/>
      <c r="V1914" s="51"/>
      <c r="X1914" s="51"/>
    </row>
    <row r="1915" spans="6:24">
      <c r="F1915" s="51"/>
      <c r="H1915" s="51"/>
      <c r="L1915" s="51"/>
      <c r="P1915" s="51"/>
      <c r="T1915" s="51"/>
      <c r="V1915" s="51"/>
      <c r="X1915" s="51"/>
    </row>
    <row r="1916" spans="6:24">
      <c r="F1916" s="51"/>
      <c r="H1916" s="51"/>
      <c r="L1916" s="51"/>
      <c r="P1916" s="51"/>
      <c r="T1916" s="51"/>
      <c r="V1916" s="51"/>
      <c r="X1916" s="51"/>
    </row>
    <row r="1917" spans="6:24">
      <c r="F1917" s="51"/>
      <c r="H1917" s="51"/>
      <c r="L1917" s="51"/>
      <c r="P1917" s="51"/>
      <c r="T1917" s="51"/>
      <c r="V1917" s="51"/>
      <c r="X1917" s="51"/>
    </row>
    <row r="1918" spans="6:24">
      <c r="F1918" s="51"/>
      <c r="H1918" s="51"/>
      <c r="L1918" s="51"/>
      <c r="P1918" s="51"/>
      <c r="T1918" s="51"/>
      <c r="V1918" s="51"/>
      <c r="X1918" s="51"/>
    </row>
    <row r="1919" spans="6:24">
      <c r="F1919" s="51"/>
      <c r="H1919" s="51"/>
      <c r="L1919" s="51"/>
      <c r="P1919" s="51"/>
      <c r="T1919" s="51"/>
      <c r="V1919" s="51"/>
      <c r="X1919" s="51"/>
    </row>
    <row r="1920" spans="6:24">
      <c r="F1920" s="51"/>
      <c r="H1920" s="51"/>
      <c r="L1920" s="51"/>
      <c r="P1920" s="51"/>
      <c r="T1920" s="51"/>
      <c r="V1920" s="51"/>
      <c r="X1920" s="51"/>
    </row>
    <row r="1921" spans="6:24">
      <c r="F1921" s="51"/>
      <c r="H1921" s="51"/>
      <c r="L1921" s="51"/>
      <c r="P1921" s="51"/>
      <c r="T1921" s="51"/>
      <c r="V1921" s="51"/>
      <c r="X1921" s="51"/>
    </row>
    <row r="1922" spans="6:24">
      <c r="F1922" s="51"/>
      <c r="H1922" s="51"/>
      <c r="L1922" s="51"/>
      <c r="P1922" s="51"/>
      <c r="T1922" s="51"/>
      <c r="V1922" s="51"/>
      <c r="X1922" s="51"/>
    </row>
    <row r="1923" spans="6:24">
      <c r="F1923" s="51"/>
      <c r="H1923" s="51"/>
      <c r="L1923" s="51"/>
      <c r="P1923" s="51"/>
      <c r="T1923" s="51"/>
      <c r="V1923" s="51"/>
      <c r="X1923" s="51"/>
    </row>
    <row r="1924" spans="6:24">
      <c r="F1924" s="51"/>
      <c r="H1924" s="51"/>
      <c r="L1924" s="51"/>
      <c r="P1924" s="51"/>
      <c r="T1924" s="51"/>
      <c r="V1924" s="51"/>
      <c r="X1924" s="51"/>
    </row>
    <row r="1925" spans="6:24">
      <c r="F1925" s="51"/>
      <c r="H1925" s="51"/>
      <c r="L1925" s="51"/>
      <c r="P1925" s="51"/>
      <c r="T1925" s="51"/>
      <c r="V1925" s="51"/>
      <c r="X1925" s="51"/>
    </row>
    <row r="1926" spans="6:24">
      <c r="F1926" s="51"/>
      <c r="H1926" s="51"/>
      <c r="L1926" s="51"/>
      <c r="P1926" s="51"/>
      <c r="T1926" s="51"/>
      <c r="V1926" s="51"/>
      <c r="X1926" s="51"/>
    </row>
    <row r="1927" spans="6:24">
      <c r="F1927" s="51"/>
      <c r="H1927" s="51"/>
      <c r="L1927" s="51"/>
      <c r="P1927" s="51"/>
      <c r="T1927" s="51"/>
      <c r="V1927" s="51"/>
      <c r="X1927" s="51"/>
    </row>
    <row r="1928" spans="6:24">
      <c r="F1928" s="51"/>
      <c r="H1928" s="51"/>
      <c r="L1928" s="51"/>
      <c r="P1928" s="51"/>
      <c r="T1928" s="51"/>
      <c r="V1928" s="51"/>
      <c r="X1928" s="51"/>
    </row>
    <row r="1929" spans="6:24">
      <c r="F1929" s="51"/>
      <c r="H1929" s="51"/>
      <c r="L1929" s="51"/>
      <c r="P1929" s="51"/>
      <c r="T1929" s="51"/>
      <c r="V1929" s="51"/>
      <c r="X1929" s="51"/>
    </row>
    <row r="1930" spans="6:24">
      <c r="F1930" s="51"/>
      <c r="H1930" s="51"/>
      <c r="L1930" s="51"/>
      <c r="P1930" s="51"/>
      <c r="T1930" s="51"/>
      <c r="V1930" s="51"/>
      <c r="X1930" s="51"/>
    </row>
    <row r="1931" spans="6:24">
      <c r="F1931" s="51"/>
      <c r="H1931" s="51"/>
      <c r="L1931" s="51"/>
      <c r="P1931" s="51"/>
      <c r="T1931" s="51"/>
      <c r="V1931" s="51"/>
      <c r="X1931" s="51"/>
    </row>
    <row r="1932" spans="6:24">
      <c r="F1932" s="51"/>
      <c r="H1932" s="51"/>
      <c r="L1932" s="51"/>
      <c r="P1932" s="51"/>
      <c r="T1932" s="51"/>
      <c r="V1932" s="51"/>
      <c r="X1932" s="51"/>
    </row>
    <row r="1933" spans="6:24">
      <c r="F1933" s="51"/>
      <c r="H1933" s="51"/>
      <c r="L1933" s="51"/>
      <c r="P1933" s="51"/>
      <c r="T1933" s="51"/>
      <c r="V1933" s="51"/>
      <c r="X1933" s="51"/>
    </row>
    <row r="1934" spans="6:24">
      <c r="F1934" s="51"/>
      <c r="H1934" s="51"/>
      <c r="L1934" s="51"/>
      <c r="P1934" s="51"/>
      <c r="T1934" s="51"/>
      <c r="V1934" s="51"/>
      <c r="X1934" s="51"/>
    </row>
    <row r="1935" spans="6:24">
      <c r="F1935" s="51"/>
      <c r="H1935" s="51"/>
      <c r="L1935" s="51"/>
      <c r="P1935" s="51"/>
      <c r="T1935" s="51"/>
      <c r="V1935" s="51"/>
      <c r="X1935" s="51"/>
    </row>
    <row r="1936" spans="6:24">
      <c r="F1936" s="51"/>
      <c r="H1936" s="51"/>
      <c r="L1936" s="51"/>
      <c r="P1936" s="51"/>
      <c r="T1936" s="51"/>
      <c r="V1936" s="51"/>
      <c r="X1936" s="51"/>
    </row>
    <row r="1937" spans="6:24">
      <c r="F1937" s="51"/>
      <c r="H1937" s="51"/>
      <c r="L1937" s="51"/>
      <c r="P1937" s="51"/>
      <c r="T1937" s="51"/>
      <c r="V1937" s="51"/>
      <c r="X1937" s="51"/>
    </row>
    <row r="1938" spans="6:24">
      <c r="F1938" s="51"/>
      <c r="H1938" s="51"/>
      <c r="L1938" s="51"/>
      <c r="P1938" s="51"/>
      <c r="T1938" s="51"/>
      <c r="V1938" s="51"/>
      <c r="X1938" s="51"/>
    </row>
    <row r="1939" spans="6:24">
      <c r="F1939" s="51"/>
      <c r="H1939" s="51"/>
      <c r="L1939" s="51"/>
      <c r="P1939" s="51"/>
      <c r="T1939" s="51"/>
      <c r="V1939" s="51"/>
      <c r="X1939" s="51"/>
    </row>
    <row r="1940" spans="6:24">
      <c r="F1940" s="51"/>
      <c r="H1940" s="51"/>
      <c r="L1940" s="51"/>
      <c r="P1940" s="51"/>
      <c r="T1940" s="51"/>
      <c r="V1940" s="51"/>
      <c r="X1940" s="51"/>
    </row>
    <row r="1941" spans="6:24">
      <c r="F1941" s="51"/>
      <c r="H1941" s="51"/>
      <c r="L1941" s="51"/>
      <c r="P1941" s="51"/>
      <c r="T1941" s="51"/>
      <c r="V1941" s="51"/>
      <c r="X1941" s="51"/>
    </row>
    <row r="1942" spans="6:24">
      <c r="F1942" s="51"/>
      <c r="H1942" s="51"/>
      <c r="L1942" s="51"/>
      <c r="P1942" s="51"/>
      <c r="T1942" s="51"/>
      <c r="V1942" s="51"/>
      <c r="X1942" s="51"/>
    </row>
    <row r="1943" spans="6:24">
      <c r="F1943" s="51"/>
      <c r="H1943" s="51"/>
      <c r="L1943" s="51"/>
      <c r="P1943" s="51"/>
      <c r="T1943" s="51"/>
      <c r="V1943" s="51"/>
      <c r="X1943" s="51"/>
    </row>
    <row r="1944" spans="6:24">
      <c r="F1944" s="51"/>
      <c r="H1944" s="51"/>
      <c r="L1944" s="51"/>
      <c r="P1944" s="51"/>
      <c r="T1944" s="51"/>
      <c r="V1944" s="51"/>
      <c r="X1944" s="51"/>
    </row>
    <row r="1945" spans="6:24">
      <c r="F1945" s="51"/>
      <c r="H1945" s="51"/>
      <c r="L1945" s="51"/>
      <c r="P1945" s="51"/>
      <c r="T1945" s="51"/>
      <c r="V1945" s="51"/>
      <c r="X1945" s="51"/>
    </row>
    <row r="1946" spans="6:24">
      <c r="F1946" s="51"/>
      <c r="H1946" s="51"/>
      <c r="L1946" s="51"/>
      <c r="P1946" s="51"/>
      <c r="T1946" s="51"/>
      <c r="V1946" s="51"/>
      <c r="X1946" s="51"/>
    </row>
    <row r="1947" spans="6:24">
      <c r="F1947" s="51"/>
      <c r="H1947" s="51"/>
      <c r="L1947" s="51"/>
      <c r="P1947" s="51"/>
      <c r="T1947" s="51"/>
      <c r="V1947" s="51"/>
      <c r="X1947" s="51"/>
    </row>
    <row r="1948" spans="6:24">
      <c r="F1948" s="51"/>
      <c r="H1948" s="51"/>
      <c r="L1948" s="51"/>
      <c r="P1948" s="51"/>
      <c r="T1948" s="51"/>
      <c r="V1948" s="51"/>
      <c r="X1948" s="51"/>
    </row>
    <row r="1949" spans="6:24">
      <c r="F1949" s="51"/>
      <c r="H1949" s="51"/>
      <c r="L1949" s="51"/>
      <c r="P1949" s="51"/>
      <c r="T1949" s="51"/>
      <c r="V1949" s="51"/>
      <c r="X1949" s="51"/>
    </row>
    <row r="1950" spans="6:24">
      <c r="F1950" s="51"/>
      <c r="H1950" s="51"/>
      <c r="L1950" s="51"/>
      <c r="P1950" s="51"/>
      <c r="T1950" s="51"/>
      <c r="V1950" s="51"/>
      <c r="X1950" s="51"/>
    </row>
    <row r="1951" spans="6:24">
      <c r="F1951" s="51"/>
      <c r="H1951" s="51"/>
      <c r="L1951" s="51"/>
      <c r="P1951" s="51"/>
      <c r="T1951" s="51"/>
      <c r="V1951" s="51"/>
      <c r="X1951" s="51"/>
    </row>
    <row r="1952" spans="6:24">
      <c r="F1952" s="51"/>
      <c r="H1952" s="51"/>
      <c r="L1952" s="51"/>
      <c r="P1952" s="51"/>
      <c r="T1952" s="51"/>
      <c r="V1952" s="51"/>
      <c r="X1952" s="51"/>
    </row>
    <row r="1953" spans="6:24">
      <c r="F1953" s="51"/>
      <c r="H1953" s="51"/>
      <c r="L1953" s="51"/>
      <c r="P1953" s="51"/>
      <c r="T1953" s="51"/>
      <c r="V1953" s="51"/>
      <c r="X1953" s="51"/>
    </row>
    <row r="1954" spans="6:24">
      <c r="F1954" s="51"/>
      <c r="H1954" s="51"/>
      <c r="L1954" s="51"/>
      <c r="P1954" s="51"/>
      <c r="T1954" s="51"/>
      <c r="V1954" s="51"/>
      <c r="X1954" s="51"/>
    </row>
    <row r="1955" spans="6:24">
      <c r="F1955" s="51"/>
      <c r="H1955" s="51"/>
      <c r="L1955" s="51"/>
      <c r="P1955" s="51"/>
      <c r="T1955" s="51"/>
      <c r="V1955" s="51"/>
      <c r="X1955" s="51"/>
    </row>
    <row r="1956" spans="6:24">
      <c r="F1956" s="51"/>
      <c r="H1956" s="51"/>
      <c r="L1956" s="51"/>
      <c r="P1956" s="51"/>
      <c r="T1956" s="51"/>
      <c r="V1956" s="51"/>
      <c r="X1956" s="51"/>
    </row>
    <row r="1957" spans="6:24">
      <c r="F1957" s="51"/>
      <c r="H1957" s="51"/>
      <c r="L1957" s="51"/>
      <c r="P1957" s="51"/>
      <c r="T1957" s="51"/>
      <c r="V1957" s="51"/>
      <c r="X1957" s="51"/>
    </row>
    <row r="1958" spans="6:24">
      <c r="F1958" s="51"/>
      <c r="H1958" s="51"/>
      <c r="L1958" s="51"/>
      <c r="P1958" s="51"/>
      <c r="T1958" s="51"/>
      <c r="V1958" s="51"/>
      <c r="X1958" s="51"/>
    </row>
    <row r="1959" spans="6:24">
      <c r="F1959" s="51"/>
      <c r="H1959" s="51"/>
      <c r="L1959" s="51"/>
      <c r="P1959" s="51"/>
      <c r="T1959" s="51"/>
      <c r="V1959" s="51"/>
      <c r="X1959" s="51"/>
    </row>
    <row r="1960" spans="6:24">
      <c r="F1960" s="51"/>
      <c r="H1960" s="51"/>
      <c r="L1960" s="51"/>
      <c r="P1960" s="51"/>
      <c r="T1960" s="51"/>
      <c r="V1960" s="51"/>
      <c r="X1960" s="51"/>
    </row>
    <row r="1961" spans="6:24">
      <c r="F1961" s="51"/>
      <c r="H1961" s="51"/>
      <c r="L1961" s="51"/>
      <c r="P1961" s="51"/>
      <c r="T1961" s="51"/>
      <c r="V1961" s="51"/>
      <c r="X1961" s="51"/>
    </row>
    <row r="1962" spans="6:24">
      <c r="F1962" s="51"/>
      <c r="H1962" s="51"/>
      <c r="L1962" s="51"/>
      <c r="P1962" s="51"/>
      <c r="T1962" s="51"/>
      <c r="V1962" s="51"/>
      <c r="X1962" s="51"/>
    </row>
    <row r="1963" spans="6:24">
      <c r="F1963" s="51"/>
      <c r="H1963" s="51"/>
      <c r="L1963" s="51"/>
      <c r="P1963" s="51"/>
      <c r="T1963" s="51"/>
      <c r="V1963" s="51"/>
      <c r="X1963" s="51"/>
    </row>
    <row r="1964" spans="6:24">
      <c r="F1964" s="51"/>
      <c r="H1964" s="51"/>
      <c r="L1964" s="51"/>
      <c r="P1964" s="51"/>
      <c r="T1964" s="51"/>
      <c r="V1964" s="51"/>
      <c r="X1964" s="51"/>
    </row>
    <row r="1965" spans="6:24">
      <c r="F1965" s="51"/>
      <c r="H1965" s="51"/>
      <c r="L1965" s="51"/>
      <c r="P1965" s="51"/>
      <c r="T1965" s="51"/>
      <c r="V1965" s="51"/>
      <c r="X1965" s="51"/>
    </row>
    <row r="1966" spans="6:24">
      <c r="F1966" s="51"/>
      <c r="H1966" s="51"/>
      <c r="L1966" s="51"/>
      <c r="P1966" s="51"/>
      <c r="T1966" s="51"/>
      <c r="V1966" s="51"/>
      <c r="X1966" s="51"/>
    </row>
    <row r="1967" spans="6:24">
      <c r="F1967" s="51"/>
      <c r="H1967" s="51"/>
      <c r="L1967" s="51"/>
      <c r="P1967" s="51"/>
      <c r="T1967" s="51"/>
      <c r="V1967" s="51"/>
      <c r="X1967" s="51"/>
    </row>
    <row r="1968" spans="6:24">
      <c r="F1968" s="51"/>
      <c r="H1968" s="51"/>
      <c r="L1968" s="51"/>
      <c r="P1968" s="51"/>
      <c r="T1968" s="51"/>
      <c r="V1968" s="51"/>
      <c r="X1968" s="51"/>
    </row>
    <row r="1969" spans="6:24">
      <c r="F1969" s="51"/>
      <c r="H1969" s="51"/>
      <c r="L1969" s="51"/>
      <c r="P1969" s="51"/>
      <c r="T1969" s="51"/>
      <c r="V1969" s="51"/>
      <c r="X1969" s="51"/>
    </row>
    <row r="1970" spans="6:24">
      <c r="F1970" s="51"/>
      <c r="H1970" s="51"/>
      <c r="L1970" s="51"/>
      <c r="P1970" s="51"/>
      <c r="T1970" s="51"/>
      <c r="V1970" s="51"/>
      <c r="X1970" s="51"/>
    </row>
    <row r="1971" spans="6:24">
      <c r="F1971" s="51"/>
      <c r="H1971" s="51"/>
      <c r="L1971" s="51"/>
      <c r="P1971" s="51"/>
      <c r="T1971" s="51"/>
      <c r="V1971" s="51"/>
      <c r="X1971" s="51"/>
    </row>
    <row r="1972" spans="6:24">
      <c r="F1972" s="51"/>
      <c r="H1972" s="51"/>
      <c r="L1972" s="51"/>
      <c r="P1972" s="51"/>
      <c r="T1972" s="51"/>
      <c r="V1972" s="51"/>
      <c r="X1972" s="51"/>
    </row>
    <row r="1973" spans="6:24">
      <c r="F1973" s="51"/>
      <c r="H1973" s="51"/>
      <c r="L1973" s="51"/>
      <c r="P1973" s="51"/>
      <c r="T1973" s="51"/>
      <c r="V1973" s="51"/>
      <c r="X1973" s="51"/>
    </row>
    <row r="1974" spans="6:24">
      <c r="F1974" s="51"/>
      <c r="H1974" s="51"/>
      <c r="L1974" s="51"/>
      <c r="P1974" s="51"/>
      <c r="T1974" s="51"/>
      <c r="V1974" s="51"/>
      <c r="X1974" s="51"/>
    </row>
    <row r="1975" spans="6:24">
      <c r="F1975" s="51"/>
      <c r="H1975" s="51"/>
      <c r="L1975" s="51"/>
      <c r="P1975" s="51"/>
      <c r="T1975" s="51"/>
      <c r="V1975" s="51"/>
      <c r="X1975" s="51"/>
    </row>
    <row r="1976" spans="6:24">
      <c r="F1976" s="51"/>
      <c r="H1976" s="51"/>
      <c r="L1976" s="51"/>
      <c r="P1976" s="51"/>
      <c r="T1976" s="51"/>
      <c r="V1976" s="51"/>
      <c r="X1976" s="51"/>
    </row>
    <row r="1977" spans="6:24">
      <c r="F1977" s="51"/>
      <c r="H1977" s="51"/>
      <c r="L1977" s="51"/>
      <c r="P1977" s="51"/>
      <c r="T1977" s="51"/>
      <c r="V1977" s="51"/>
      <c r="X1977" s="51"/>
    </row>
    <row r="1978" spans="6:24">
      <c r="F1978" s="51"/>
      <c r="H1978" s="51"/>
      <c r="L1978" s="51"/>
      <c r="P1978" s="51"/>
      <c r="T1978" s="51"/>
      <c r="V1978" s="51"/>
      <c r="X1978" s="51"/>
    </row>
    <row r="1979" spans="6:24">
      <c r="F1979" s="51"/>
      <c r="H1979" s="51"/>
      <c r="L1979" s="51"/>
      <c r="P1979" s="51"/>
      <c r="T1979" s="51"/>
      <c r="V1979" s="51"/>
      <c r="X1979" s="51"/>
    </row>
    <row r="1980" spans="6:24">
      <c r="F1980" s="51"/>
      <c r="H1980" s="51"/>
      <c r="L1980" s="51"/>
      <c r="P1980" s="51"/>
      <c r="T1980" s="51"/>
      <c r="V1980" s="51"/>
      <c r="X1980" s="51"/>
    </row>
    <row r="1981" spans="6:24">
      <c r="F1981" s="51"/>
      <c r="H1981" s="51"/>
      <c r="L1981" s="51"/>
      <c r="P1981" s="51"/>
      <c r="T1981" s="51"/>
      <c r="V1981" s="51"/>
      <c r="X1981" s="51"/>
    </row>
    <row r="1982" spans="6:24">
      <c r="F1982" s="51"/>
      <c r="H1982" s="51"/>
      <c r="L1982" s="51"/>
      <c r="P1982" s="51"/>
      <c r="T1982" s="51"/>
      <c r="V1982" s="51"/>
      <c r="X1982" s="51"/>
    </row>
    <row r="1983" spans="6:24">
      <c r="F1983" s="51"/>
      <c r="H1983" s="51"/>
      <c r="L1983" s="51"/>
      <c r="P1983" s="51"/>
      <c r="T1983" s="51"/>
      <c r="V1983" s="51"/>
      <c r="X1983" s="51"/>
    </row>
    <row r="1984" spans="6:24">
      <c r="F1984" s="51"/>
      <c r="H1984" s="51"/>
      <c r="L1984" s="51"/>
      <c r="P1984" s="51"/>
      <c r="T1984" s="51"/>
      <c r="V1984" s="51"/>
      <c r="X1984" s="51"/>
    </row>
    <row r="1985" spans="6:24">
      <c r="F1985" s="51"/>
      <c r="H1985" s="51"/>
      <c r="L1985" s="51"/>
      <c r="P1985" s="51"/>
      <c r="T1985" s="51"/>
      <c r="V1985" s="51"/>
      <c r="X1985" s="51"/>
    </row>
    <row r="1986" spans="6:24">
      <c r="F1986" s="51"/>
      <c r="H1986" s="51"/>
      <c r="L1986" s="51"/>
      <c r="P1986" s="51"/>
      <c r="T1986" s="51"/>
      <c r="V1986" s="51"/>
      <c r="X1986" s="51"/>
    </row>
    <row r="1987" spans="6:24">
      <c r="F1987" s="51"/>
      <c r="H1987" s="51"/>
      <c r="L1987" s="51"/>
      <c r="P1987" s="51"/>
      <c r="T1987" s="51"/>
      <c r="V1987" s="51"/>
      <c r="X1987" s="51"/>
    </row>
    <row r="1988" spans="6:24">
      <c r="F1988" s="51"/>
      <c r="H1988" s="51"/>
      <c r="L1988" s="51"/>
      <c r="P1988" s="51"/>
      <c r="T1988" s="51"/>
      <c r="V1988" s="51"/>
      <c r="X1988" s="51"/>
    </row>
    <row r="1989" spans="6:24">
      <c r="F1989" s="51"/>
      <c r="H1989" s="51"/>
      <c r="L1989" s="51"/>
      <c r="P1989" s="51"/>
      <c r="T1989" s="51"/>
      <c r="V1989" s="51"/>
      <c r="X1989" s="51"/>
    </row>
    <row r="1990" spans="6:24">
      <c r="F1990" s="51"/>
      <c r="H1990" s="51"/>
      <c r="L1990" s="51"/>
      <c r="P1990" s="51"/>
      <c r="T1990" s="51"/>
      <c r="V1990" s="51"/>
      <c r="X1990" s="51"/>
    </row>
    <row r="1991" spans="6:24">
      <c r="F1991" s="51"/>
      <c r="H1991" s="51"/>
      <c r="L1991" s="51"/>
      <c r="P1991" s="51"/>
      <c r="T1991" s="51"/>
      <c r="V1991" s="51"/>
      <c r="X1991" s="51"/>
    </row>
    <row r="1992" spans="6:24">
      <c r="F1992" s="51"/>
      <c r="H1992" s="51"/>
      <c r="L1992" s="51"/>
      <c r="P1992" s="51"/>
      <c r="T1992" s="51"/>
      <c r="V1992" s="51"/>
      <c r="X1992" s="51"/>
    </row>
    <row r="1993" spans="6:24">
      <c r="F1993" s="51"/>
      <c r="H1993" s="51"/>
      <c r="L1993" s="51"/>
      <c r="P1993" s="51"/>
      <c r="T1993" s="51"/>
      <c r="V1993" s="51"/>
      <c r="X1993" s="51"/>
    </row>
    <row r="1994" spans="6:24">
      <c r="F1994" s="51"/>
      <c r="H1994" s="51"/>
      <c r="L1994" s="51"/>
      <c r="P1994" s="51"/>
      <c r="T1994" s="51"/>
      <c r="V1994" s="51"/>
      <c r="X1994" s="51"/>
    </row>
    <row r="1995" spans="6:24">
      <c r="F1995" s="51"/>
      <c r="H1995" s="51"/>
      <c r="L1995" s="51"/>
      <c r="P1995" s="51"/>
      <c r="T1995" s="51"/>
      <c r="V1995" s="51"/>
      <c r="X1995" s="51"/>
    </row>
    <row r="1996" spans="6:24">
      <c r="F1996" s="51"/>
      <c r="H1996" s="51"/>
      <c r="L1996" s="51"/>
      <c r="P1996" s="51"/>
      <c r="T1996" s="51"/>
      <c r="V1996" s="51"/>
      <c r="X1996" s="51"/>
    </row>
    <row r="1997" spans="6:24">
      <c r="F1997" s="51"/>
      <c r="H1997" s="51"/>
      <c r="L1997" s="51"/>
      <c r="P1997" s="51"/>
      <c r="T1997" s="51"/>
      <c r="V1997" s="51"/>
      <c r="X1997" s="51"/>
    </row>
    <row r="1998" spans="6:24">
      <c r="F1998" s="51"/>
      <c r="H1998" s="51"/>
      <c r="L1998" s="51"/>
      <c r="P1998" s="51"/>
      <c r="T1998" s="51"/>
      <c r="V1998" s="51"/>
      <c r="X1998" s="51"/>
    </row>
    <row r="1999" spans="6:24">
      <c r="F1999" s="51"/>
      <c r="H1999" s="51"/>
      <c r="L1999" s="51"/>
      <c r="P1999" s="51"/>
      <c r="T1999" s="51"/>
      <c r="V1999" s="51"/>
      <c r="X1999" s="51"/>
    </row>
    <row r="2000" spans="6:24">
      <c r="F2000" s="51"/>
      <c r="H2000" s="51"/>
      <c r="L2000" s="51"/>
      <c r="P2000" s="51"/>
      <c r="T2000" s="51"/>
      <c r="V2000" s="51"/>
      <c r="X2000" s="51"/>
    </row>
    <row r="2001" spans="6:24">
      <c r="F2001" s="51"/>
      <c r="H2001" s="51"/>
      <c r="L2001" s="51"/>
      <c r="P2001" s="51"/>
      <c r="T2001" s="51"/>
      <c r="V2001" s="51"/>
      <c r="X2001" s="51"/>
    </row>
    <row r="2002" spans="6:24">
      <c r="F2002" s="51"/>
      <c r="H2002" s="51"/>
      <c r="L2002" s="51"/>
      <c r="P2002" s="51"/>
      <c r="T2002" s="51"/>
      <c r="V2002" s="51"/>
      <c r="X2002" s="51"/>
    </row>
    <row r="2003" spans="6:24">
      <c r="F2003" s="51"/>
      <c r="H2003" s="51"/>
      <c r="L2003" s="51"/>
      <c r="P2003" s="51"/>
      <c r="T2003" s="51"/>
      <c r="V2003" s="51"/>
      <c r="X2003" s="51"/>
    </row>
    <row r="2004" spans="6:24">
      <c r="F2004" s="51"/>
      <c r="H2004" s="51"/>
      <c r="L2004" s="51"/>
      <c r="P2004" s="51"/>
      <c r="T2004" s="51"/>
      <c r="V2004" s="51"/>
      <c r="X2004" s="51"/>
    </row>
    <row r="2005" spans="6:24">
      <c r="F2005" s="51"/>
      <c r="H2005" s="51"/>
      <c r="L2005" s="51"/>
      <c r="P2005" s="51"/>
      <c r="T2005" s="51"/>
      <c r="V2005" s="51"/>
      <c r="X2005" s="51"/>
    </row>
    <row r="2006" spans="6:24">
      <c r="F2006" s="51"/>
      <c r="H2006" s="51"/>
      <c r="L2006" s="51"/>
      <c r="P2006" s="51"/>
      <c r="T2006" s="51"/>
      <c r="V2006" s="51"/>
      <c r="X2006" s="51"/>
    </row>
    <row r="2007" spans="6:24">
      <c r="F2007" s="51"/>
      <c r="H2007" s="51"/>
      <c r="L2007" s="51"/>
      <c r="P2007" s="51"/>
      <c r="T2007" s="51"/>
      <c r="V2007" s="51"/>
      <c r="X2007" s="51"/>
    </row>
    <row r="2008" spans="6:24">
      <c r="F2008" s="51"/>
      <c r="H2008" s="51"/>
      <c r="L2008" s="51"/>
      <c r="P2008" s="51"/>
      <c r="T2008" s="51"/>
      <c r="V2008" s="51"/>
      <c r="X2008" s="51"/>
    </row>
    <row r="2009" spans="6:24">
      <c r="F2009" s="51"/>
      <c r="H2009" s="51"/>
      <c r="L2009" s="51"/>
      <c r="P2009" s="51"/>
      <c r="T2009" s="51"/>
      <c r="V2009" s="51"/>
      <c r="X2009" s="51"/>
    </row>
    <row r="2010" spans="6:24">
      <c r="F2010" s="51"/>
      <c r="H2010" s="51"/>
      <c r="L2010" s="51"/>
      <c r="P2010" s="51"/>
      <c r="T2010" s="51"/>
      <c r="V2010" s="51"/>
      <c r="X2010" s="51"/>
    </row>
    <row r="2011" spans="6:24">
      <c r="F2011" s="51"/>
      <c r="H2011" s="51"/>
      <c r="L2011" s="51"/>
      <c r="P2011" s="51"/>
      <c r="T2011" s="51"/>
      <c r="V2011" s="51"/>
      <c r="X2011" s="51"/>
    </row>
    <row r="2012" spans="6:24">
      <c r="F2012" s="51"/>
      <c r="H2012" s="51"/>
      <c r="L2012" s="51"/>
      <c r="P2012" s="51"/>
      <c r="T2012" s="51"/>
      <c r="V2012" s="51"/>
      <c r="X2012" s="51"/>
    </row>
    <row r="2013" spans="6:24">
      <c r="F2013" s="51"/>
      <c r="H2013" s="51"/>
      <c r="L2013" s="51"/>
      <c r="P2013" s="51"/>
      <c r="T2013" s="51"/>
      <c r="V2013" s="51"/>
      <c r="X2013" s="51"/>
    </row>
    <row r="2014" spans="6:24">
      <c r="F2014" s="51"/>
      <c r="H2014" s="51"/>
      <c r="L2014" s="51"/>
      <c r="P2014" s="51"/>
      <c r="T2014" s="51"/>
      <c r="V2014" s="51"/>
      <c r="X2014" s="51"/>
    </row>
    <row r="2015" spans="6:24">
      <c r="F2015" s="51"/>
      <c r="H2015" s="51"/>
      <c r="L2015" s="51"/>
      <c r="P2015" s="51"/>
      <c r="T2015" s="51"/>
      <c r="V2015" s="51"/>
      <c r="X2015" s="51"/>
    </row>
    <row r="2016" spans="6:24">
      <c r="F2016" s="51"/>
      <c r="H2016" s="51"/>
      <c r="L2016" s="51"/>
      <c r="P2016" s="51"/>
      <c r="T2016" s="51"/>
      <c r="V2016" s="51"/>
      <c r="X2016" s="51"/>
    </row>
    <row r="2017" spans="6:24">
      <c r="F2017" s="51"/>
      <c r="H2017" s="51"/>
      <c r="L2017" s="51"/>
      <c r="P2017" s="51"/>
      <c r="T2017" s="51"/>
      <c r="V2017" s="51"/>
      <c r="X2017" s="51"/>
    </row>
    <row r="2018" spans="6:24">
      <c r="F2018" s="51"/>
      <c r="H2018" s="51"/>
      <c r="L2018" s="51"/>
      <c r="P2018" s="51"/>
      <c r="T2018" s="51"/>
      <c r="V2018" s="51"/>
      <c r="X2018" s="51"/>
    </row>
    <row r="2019" spans="6:24">
      <c r="F2019" s="51"/>
      <c r="H2019" s="51"/>
      <c r="L2019" s="51"/>
      <c r="P2019" s="51"/>
      <c r="T2019" s="51"/>
      <c r="V2019" s="51"/>
      <c r="X2019" s="51"/>
    </row>
    <row r="2020" spans="6:24">
      <c r="F2020" s="51"/>
      <c r="H2020" s="51"/>
      <c r="L2020" s="51"/>
      <c r="P2020" s="51"/>
      <c r="T2020" s="51"/>
      <c r="V2020" s="51"/>
      <c r="X2020" s="51"/>
    </row>
    <row r="2021" spans="6:24">
      <c r="F2021" s="51"/>
      <c r="H2021" s="51"/>
      <c r="L2021" s="51"/>
      <c r="P2021" s="51"/>
      <c r="T2021" s="51"/>
      <c r="V2021" s="51"/>
      <c r="X2021" s="51"/>
    </row>
    <row r="2022" spans="6:24">
      <c r="F2022" s="51"/>
      <c r="H2022" s="51"/>
      <c r="L2022" s="51"/>
      <c r="P2022" s="51"/>
      <c r="T2022" s="51"/>
      <c r="V2022" s="51"/>
      <c r="X2022" s="51"/>
    </row>
    <row r="2023" spans="6:24">
      <c r="F2023" s="51"/>
      <c r="H2023" s="51"/>
      <c r="L2023" s="51"/>
      <c r="P2023" s="51"/>
      <c r="T2023" s="51"/>
      <c r="V2023" s="51"/>
      <c r="X2023" s="51"/>
    </row>
    <row r="2024" spans="6:24">
      <c r="F2024" s="51"/>
      <c r="H2024" s="51"/>
      <c r="L2024" s="51"/>
      <c r="P2024" s="51"/>
      <c r="T2024" s="51"/>
      <c r="V2024" s="51"/>
      <c r="X2024" s="51"/>
    </row>
    <row r="2025" spans="6:24">
      <c r="F2025" s="51"/>
      <c r="H2025" s="51"/>
      <c r="L2025" s="51"/>
      <c r="P2025" s="51"/>
      <c r="T2025" s="51"/>
      <c r="V2025" s="51"/>
      <c r="X2025" s="51"/>
    </row>
    <row r="2026" spans="6:24">
      <c r="F2026" s="51"/>
      <c r="H2026" s="51"/>
      <c r="L2026" s="51"/>
      <c r="P2026" s="51"/>
      <c r="T2026" s="51"/>
      <c r="V2026" s="51"/>
      <c r="X2026" s="51"/>
    </row>
    <row r="2027" spans="6:24">
      <c r="F2027" s="51"/>
      <c r="H2027" s="51"/>
      <c r="L2027" s="51"/>
      <c r="P2027" s="51"/>
      <c r="T2027" s="51"/>
      <c r="V2027" s="51"/>
      <c r="X2027" s="51"/>
    </row>
    <row r="2028" spans="6:24">
      <c r="F2028" s="51"/>
      <c r="H2028" s="51"/>
      <c r="L2028" s="51"/>
      <c r="P2028" s="51"/>
      <c r="T2028" s="51"/>
      <c r="V2028" s="51"/>
      <c r="X2028" s="51"/>
    </row>
    <row r="2029" spans="6:24">
      <c r="F2029" s="51"/>
      <c r="H2029" s="51"/>
      <c r="L2029" s="51"/>
      <c r="P2029" s="51"/>
      <c r="T2029" s="51"/>
      <c r="V2029" s="51"/>
      <c r="X2029" s="51"/>
    </row>
    <row r="2030" spans="6:24">
      <c r="F2030" s="51"/>
      <c r="H2030" s="51"/>
      <c r="L2030" s="51"/>
      <c r="P2030" s="51"/>
      <c r="T2030" s="51"/>
      <c r="V2030" s="51"/>
      <c r="X2030" s="51"/>
    </row>
    <row r="2031" spans="6:24">
      <c r="F2031" s="51"/>
      <c r="H2031" s="51"/>
      <c r="L2031" s="51"/>
      <c r="P2031" s="51"/>
      <c r="T2031" s="51"/>
      <c r="V2031" s="51"/>
      <c r="X2031" s="51"/>
    </row>
    <row r="2032" spans="6:24">
      <c r="F2032" s="51"/>
      <c r="H2032" s="51"/>
      <c r="L2032" s="51"/>
      <c r="P2032" s="51"/>
      <c r="T2032" s="51"/>
      <c r="V2032" s="51"/>
      <c r="X2032" s="51"/>
    </row>
    <row r="2033" spans="6:24">
      <c r="F2033" s="51"/>
      <c r="H2033" s="51"/>
      <c r="L2033" s="51"/>
      <c r="P2033" s="51"/>
      <c r="T2033" s="51"/>
      <c r="V2033" s="51"/>
      <c r="X2033" s="51"/>
    </row>
    <row r="2034" spans="6:24">
      <c r="F2034" s="51"/>
      <c r="H2034" s="51"/>
      <c r="L2034" s="51"/>
      <c r="P2034" s="51"/>
      <c r="T2034" s="51"/>
      <c r="V2034" s="51"/>
      <c r="X2034" s="51"/>
    </row>
    <row r="2035" spans="6:24">
      <c r="F2035" s="51"/>
      <c r="H2035" s="51"/>
      <c r="L2035" s="51"/>
      <c r="P2035" s="51"/>
      <c r="T2035" s="51"/>
      <c r="V2035" s="51"/>
      <c r="X2035" s="51"/>
    </row>
    <row r="2036" spans="6:24">
      <c r="F2036" s="51"/>
      <c r="H2036" s="51"/>
      <c r="L2036" s="51"/>
      <c r="P2036" s="51"/>
      <c r="T2036" s="51"/>
      <c r="V2036" s="51"/>
      <c r="X2036" s="51"/>
    </row>
    <row r="2037" spans="6:24">
      <c r="F2037" s="51"/>
      <c r="H2037" s="51"/>
      <c r="L2037" s="51"/>
      <c r="P2037" s="51"/>
      <c r="T2037" s="51"/>
      <c r="V2037" s="51"/>
      <c r="X2037" s="51"/>
    </row>
    <row r="2038" spans="6:24">
      <c r="F2038" s="51"/>
      <c r="H2038" s="51"/>
      <c r="L2038" s="51"/>
      <c r="P2038" s="51"/>
      <c r="T2038" s="51"/>
      <c r="V2038" s="51"/>
      <c r="X2038" s="51"/>
    </row>
    <row r="2039" spans="6:24">
      <c r="F2039" s="51"/>
      <c r="H2039" s="51"/>
      <c r="L2039" s="51"/>
      <c r="P2039" s="51"/>
      <c r="T2039" s="51"/>
      <c r="V2039" s="51"/>
      <c r="X2039" s="51"/>
    </row>
    <row r="2040" spans="6:24">
      <c r="F2040" s="51"/>
      <c r="H2040" s="51"/>
      <c r="L2040" s="51"/>
      <c r="P2040" s="51"/>
      <c r="T2040" s="51"/>
      <c r="V2040" s="51"/>
      <c r="X2040" s="51"/>
    </row>
    <row r="2041" spans="6:24">
      <c r="F2041" s="51"/>
      <c r="H2041" s="51"/>
      <c r="L2041" s="51"/>
      <c r="P2041" s="51"/>
      <c r="T2041" s="51"/>
      <c r="V2041" s="51"/>
      <c r="X2041" s="51"/>
    </row>
    <row r="2042" spans="6:24">
      <c r="F2042" s="51"/>
      <c r="H2042" s="51"/>
      <c r="L2042" s="51"/>
      <c r="P2042" s="51"/>
      <c r="T2042" s="51"/>
      <c r="V2042" s="51"/>
      <c r="X2042" s="51"/>
    </row>
    <row r="2043" spans="6:24">
      <c r="F2043" s="51"/>
      <c r="H2043" s="51"/>
      <c r="L2043" s="51"/>
      <c r="P2043" s="51"/>
      <c r="T2043" s="51"/>
      <c r="V2043" s="51"/>
      <c r="X2043" s="51"/>
    </row>
    <row r="2044" spans="6:24">
      <c r="F2044" s="51"/>
      <c r="H2044" s="51"/>
      <c r="L2044" s="51"/>
      <c r="P2044" s="51"/>
      <c r="T2044" s="51"/>
      <c r="V2044" s="51"/>
      <c r="X2044" s="51"/>
    </row>
    <row r="2045" spans="6:24">
      <c r="F2045" s="51"/>
      <c r="H2045" s="51"/>
      <c r="L2045" s="51"/>
      <c r="P2045" s="51"/>
      <c r="T2045" s="51"/>
      <c r="V2045" s="51"/>
      <c r="X2045" s="51"/>
    </row>
    <row r="2046" spans="6:24">
      <c r="F2046" s="51"/>
      <c r="H2046" s="51"/>
      <c r="L2046" s="51"/>
      <c r="P2046" s="51"/>
      <c r="T2046" s="51"/>
      <c r="V2046" s="51"/>
      <c r="X2046" s="51"/>
    </row>
    <row r="2047" spans="6:24">
      <c r="F2047" s="51"/>
      <c r="H2047" s="51"/>
      <c r="L2047" s="51"/>
      <c r="P2047" s="51"/>
      <c r="T2047" s="51"/>
      <c r="V2047" s="51"/>
      <c r="X2047" s="51"/>
    </row>
    <row r="2048" spans="6:24">
      <c r="F2048" s="51"/>
      <c r="H2048" s="51"/>
      <c r="L2048" s="51"/>
      <c r="P2048" s="51"/>
      <c r="T2048" s="51"/>
      <c r="V2048" s="51"/>
      <c r="X2048" s="51"/>
    </row>
    <row r="2049" spans="6:24">
      <c r="F2049" s="51"/>
      <c r="H2049" s="51"/>
      <c r="L2049" s="51"/>
      <c r="P2049" s="51"/>
      <c r="T2049" s="51"/>
      <c r="V2049" s="51"/>
      <c r="X2049" s="51"/>
    </row>
    <row r="2050" spans="6:24">
      <c r="F2050" s="51"/>
      <c r="H2050" s="51"/>
      <c r="L2050" s="51"/>
      <c r="P2050" s="51"/>
      <c r="T2050" s="51"/>
      <c r="V2050" s="51"/>
      <c r="X2050" s="51"/>
    </row>
    <row r="2051" spans="6:24">
      <c r="F2051" s="51"/>
      <c r="H2051" s="51"/>
      <c r="L2051" s="51"/>
      <c r="P2051" s="51"/>
      <c r="T2051" s="51"/>
      <c r="V2051" s="51"/>
      <c r="X2051" s="51"/>
    </row>
    <row r="2052" spans="6:24">
      <c r="F2052" s="51"/>
      <c r="H2052" s="51"/>
      <c r="L2052" s="51"/>
      <c r="P2052" s="51"/>
      <c r="T2052" s="51"/>
      <c r="V2052" s="51"/>
      <c r="X2052" s="51"/>
    </row>
    <row r="2053" spans="6:24">
      <c r="F2053" s="51"/>
      <c r="H2053" s="51"/>
      <c r="L2053" s="51"/>
      <c r="P2053" s="51"/>
      <c r="T2053" s="51"/>
      <c r="V2053" s="51"/>
      <c r="X2053" s="51"/>
    </row>
    <row r="2054" spans="6:24">
      <c r="F2054" s="51"/>
      <c r="H2054" s="51"/>
      <c r="L2054" s="51"/>
      <c r="P2054" s="51"/>
      <c r="T2054" s="51"/>
      <c r="V2054" s="51"/>
      <c r="X2054" s="51"/>
    </row>
    <row r="2055" spans="6:24">
      <c r="F2055" s="51"/>
      <c r="H2055" s="51"/>
      <c r="L2055" s="51"/>
      <c r="P2055" s="51"/>
      <c r="T2055" s="51"/>
      <c r="V2055" s="51"/>
      <c r="X2055" s="51"/>
    </row>
    <row r="2056" spans="6:24">
      <c r="F2056" s="51"/>
      <c r="H2056" s="51"/>
      <c r="L2056" s="51"/>
      <c r="P2056" s="51"/>
      <c r="T2056" s="51"/>
      <c r="V2056" s="51"/>
      <c r="X2056" s="51"/>
    </row>
    <row r="2057" spans="6:24">
      <c r="F2057" s="51"/>
      <c r="H2057" s="51"/>
      <c r="L2057" s="51"/>
      <c r="P2057" s="51"/>
      <c r="T2057" s="51"/>
      <c r="V2057" s="51"/>
      <c r="X2057" s="51"/>
    </row>
    <row r="2058" spans="6:24">
      <c r="F2058" s="51"/>
      <c r="H2058" s="51"/>
      <c r="L2058" s="51"/>
      <c r="P2058" s="51"/>
      <c r="T2058" s="51"/>
      <c r="V2058" s="51"/>
      <c r="X2058" s="51"/>
    </row>
    <row r="2059" spans="6:24">
      <c r="F2059" s="51"/>
      <c r="H2059" s="51"/>
      <c r="L2059" s="51"/>
      <c r="P2059" s="51"/>
      <c r="T2059" s="51"/>
      <c r="V2059" s="51"/>
      <c r="X2059" s="51"/>
    </row>
    <row r="2060" spans="6:24">
      <c r="F2060" s="51"/>
      <c r="H2060" s="51"/>
      <c r="L2060" s="51"/>
      <c r="P2060" s="51"/>
      <c r="T2060" s="51"/>
      <c r="V2060" s="51"/>
      <c r="X2060" s="51"/>
    </row>
    <row r="2061" spans="6:24">
      <c r="F2061" s="51"/>
      <c r="H2061" s="51"/>
      <c r="L2061" s="51"/>
      <c r="P2061" s="51"/>
      <c r="T2061" s="51"/>
      <c r="V2061" s="51"/>
      <c r="X2061" s="51"/>
    </row>
    <row r="2062" spans="6:24">
      <c r="F2062" s="51"/>
      <c r="H2062" s="51"/>
      <c r="L2062" s="51"/>
      <c r="P2062" s="51"/>
      <c r="T2062" s="51"/>
      <c r="V2062" s="51"/>
      <c r="X2062" s="51"/>
    </row>
    <row r="2063" spans="6:24">
      <c r="F2063" s="51"/>
      <c r="H2063" s="51"/>
      <c r="L2063" s="51"/>
      <c r="P2063" s="51"/>
      <c r="T2063" s="51"/>
      <c r="V2063" s="51"/>
      <c r="X2063" s="51"/>
    </row>
    <row r="2064" spans="6:24">
      <c r="F2064" s="51"/>
      <c r="H2064" s="51"/>
      <c r="L2064" s="51"/>
      <c r="P2064" s="51"/>
      <c r="T2064" s="51"/>
      <c r="V2064" s="51"/>
      <c r="X2064" s="51"/>
    </row>
    <row r="2065" spans="6:24">
      <c r="F2065" s="51"/>
      <c r="H2065" s="51"/>
      <c r="L2065" s="51"/>
      <c r="P2065" s="51"/>
      <c r="T2065" s="51"/>
      <c r="V2065" s="51"/>
      <c r="X2065" s="51"/>
    </row>
    <row r="2066" spans="6:24">
      <c r="F2066" s="51"/>
      <c r="H2066" s="51"/>
      <c r="L2066" s="51"/>
      <c r="P2066" s="51"/>
      <c r="T2066" s="51"/>
      <c r="V2066" s="51"/>
      <c r="X2066" s="51"/>
    </row>
    <row r="2067" spans="6:24">
      <c r="F2067" s="51"/>
      <c r="H2067" s="51"/>
      <c r="L2067" s="51"/>
      <c r="P2067" s="51"/>
      <c r="T2067" s="51"/>
      <c r="V2067" s="51"/>
      <c r="X2067" s="51"/>
    </row>
    <row r="2068" spans="6:24">
      <c r="F2068" s="51"/>
      <c r="H2068" s="51"/>
      <c r="L2068" s="51"/>
      <c r="P2068" s="51"/>
      <c r="T2068" s="51"/>
      <c r="V2068" s="51"/>
      <c r="X2068" s="51"/>
    </row>
    <row r="2069" spans="6:24">
      <c r="F2069" s="51"/>
      <c r="H2069" s="51"/>
      <c r="L2069" s="51"/>
      <c r="P2069" s="51"/>
      <c r="T2069" s="51"/>
      <c r="V2069" s="51"/>
      <c r="X2069" s="51"/>
    </row>
    <row r="2070" spans="6:24">
      <c r="F2070" s="51"/>
      <c r="H2070" s="51"/>
      <c r="L2070" s="51"/>
      <c r="P2070" s="51"/>
      <c r="T2070" s="51"/>
      <c r="V2070" s="51"/>
      <c r="X2070" s="51"/>
    </row>
    <row r="2071" spans="6:24">
      <c r="F2071" s="51"/>
      <c r="H2071" s="51"/>
      <c r="L2071" s="51"/>
      <c r="P2071" s="51"/>
      <c r="T2071" s="51"/>
      <c r="V2071" s="51"/>
      <c r="X2071" s="51"/>
    </row>
    <row r="2072" spans="6:24">
      <c r="F2072" s="51"/>
      <c r="H2072" s="51"/>
      <c r="L2072" s="51"/>
      <c r="P2072" s="51"/>
      <c r="T2072" s="51"/>
      <c r="V2072" s="51"/>
      <c r="X2072" s="51"/>
    </row>
    <row r="2073" spans="6:24">
      <c r="F2073" s="51"/>
      <c r="H2073" s="51"/>
      <c r="L2073" s="51"/>
      <c r="P2073" s="51"/>
      <c r="T2073" s="51"/>
      <c r="V2073" s="51"/>
      <c r="X2073" s="51"/>
    </row>
    <row r="2074" spans="6:24">
      <c r="F2074" s="51"/>
      <c r="H2074" s="51"/>
      <c r="L2074" s="51"/>
      <c r="P2074" s="51"/>
      <c r="T2074" s="51"/>
      <c r="V2074" s="51"/>
      <c r="X2074" s="51"/>
    </row>
    <row r="2075" spans="6:24">
      <c r="F2075" s="51"/>
      <c r="H2075" s="51"/>
      <c r="L2075" s="51"/>
      <c r="P2075" s="51"/>
      <c r="T2075" s="51"/>
      <c r="V2075" s="51"/>
      <c r="X2075" s="51"/>
    </row>
    <row r="2076" spans="6:24">
      <c r="F2076" s="51"/>
      <c r="H2076" s="51"/>
      <c r="L2076" s="51"/>
      <c r="P2076" s="51"/>
      <c r="T2076" s="51"/>
      <c r="V2076" s="51"/>
      <c r="X2076" s="51"/>
    </row>
    <row r="2077" spans="6:24">
      <c r="F2077" s="51"/>
      <c r="H2077" s="51"/>
      <c r="L2077" s="51"/>
      <c r="P2077" s="51"/>
      <c r="T2077" s="51"/>
      <c r="V2077" s="51"/>
      <c r="X2077" s="51"/>
    </row>
    <row r="2078" spans="6:24">
      <c r="F2078" s="51"/>
      <c r="H2078" s="51"/>
      <c r="L2078" s="51"/>
      <c r="P2078" s="51"/>
      <c r="T2078" s="51"/>
      <c r="V2078" s="51"/>
      <c r="X2078" s="51"/>
    </row>
    <row r="2079" spans="6:24">
      <c r="F2079" s="51"/>
      <c r="H2079" s="51"/>
      <c r="L2079" s="51"/>
      <c r="P2079" s="51"/>
      <c r="T2079" s="51"/>
      <c r="V2079" s="51"/>
      <c r="X2079" s="51"/>
    </row>
    <row r="2080" spans="6:24">
      <c r="F2080" s="51"/>
      <c r="H2080" s="51"/>
      <c r="L2080" s="51"/>
      <c r="P2080" s="51"/>
      <c r="T2080" s="51"/>
      <c r="V2080" s="51"/>
      <c r="X2080" s="51"/>
    </row>
    <row r="2081" spans="6:24">
      <c r="F2081" s="51"/>
      <c r="H2081" s="51"/>
      <c r="L2081" s="51"/>
      <c r="P2081" s="51"/>
      <c r="T2081" s="51"/>
      <c r="V2081" s="51"/>
      <c r="X2081" s="51"/>
    </row>
    <row r="2082" spans="6:24">
      <c r="F2082" s="51"/>
      <c r="H2082" s="51"/>
      <c r="L2082" s="51"/>
      <c r="P2082" s="51"/>
      <c r="T2082" s="51"/>
      <c r="V2082" s="51"/>
      <c r="X2082" s="51"/>
    </row>
    <row r="2083" spans="6:24">
      <c r="F2083" s="51"/>
      <c r="H2083" s="51"/>
      <c r="L2083" s="51"/>
      <c r="P2083" s="51"/>
      <c r="T2083" s="51"/>
      <c r="V2083" s="51"/>
      <c r="X2083" s="51"/>
    </row>
    <row r="2084" spans="6:24">
      <c r="F2084" s="51"/>
      <c r="H2084" s="51"/>
      <c r="L2084" s="51"/>
      <c r="P2084" s="51"/>
      <c r="T2084" s="51"/>
      <c r="V2084" s="51"/>
      <c r="X2084" s="51"/>
    </row>
    <row r="2085" spans="6:24">
      <c r="F2085" s="51"/>
      <c r="H2085" s="51"/>
      <c r="L2085" s="51"/>
      <c r="P2085" s="51"/>
      <c r="T2085" s="51"/>
      <c r="V2085" s="51"/>
      <c r="X2085" s="51"/>
    </row>
    <row r="2086" spans="6:24">
      <c r="F2086" s="51"/>
      <c r="H2086" s="51"/>
      <c r="L2086" s="51"/>
      <c r="P2086" s="51"/>
      <c r="T2086" s="51"/>
      <c r="V2086" s="51"/>
      <c r="X2086" s="51"/>
    </row>
    <row r="2087" spans="6:24">
      <c r="F2087" s="51"/>
      <c r="H2087" s="51"/>
      <c r="L2087" s="51"/>
      <c r="P2087" s="51"/>
      <c r="T2087" s="51"/>
      <c r="V2087" s="51"/>
      <c r="X2087" s="51"/>
    </row>
    <row r="2088" spans="6:24">
      <c r="F2088" s="51"/>
      <c r="H2088" s="51"/>
      <c r="L2088" s="51"/>
      <c r="P2088" s="51"/>
      <c r="T2088" s="51"/>
      <c r="V2088" s="51"/>
      <c r="X2088" s="51"/>
    </row>
    <row r="2089" spans="6:24">
      <c r="F2089" s="51"/>
      <c r="H2089" s="51"/>
      <c r="L2089" s="51"/>
      <c r="P2089" s="51"/>
      <c r="T2089" s="51"/>
      <c r="V2089" s="51"/>
      <c r="X2089" s="51"/>
    </row>
    <row r="2090" spans="6:24">
      <c r="F2090" s="51"/>
      <c r="H2090" s="51"/>
      <c r="L2090" s="51"/>
      <c r="P2090" s="51"/>
      <c r="T2090" s="51"/>
      <c r="V2090" s="51"/>
      <c r="X2090" s="51"/>
    </row>
    <row r="2091" spans="6:24">
      <c r="F2091" s="51"/>
      <c r="H2091" s="51"/>
      <c r="L2091" s="51"/>
      <c r="P2091" s="51"/>
      <c r="T2091" s="51"/>
      <c r="V2091" s="51"/>
      <c r="X2091" s="51"/>
    </row>
    <row r="2092" spans="6:24">
      <c r="F2092" s="51"/>
      <c r="H2092" s="51"/>
      <c r="L2092" s="51"/>
      <c r="P2092" s="51"/>
      <c r="T2092" s="51"/>
      <c r="V2092" s="51"/>
      <c r="X2092" s="51"/>
    </row>
    <row r="2093" spans="6:24">
      <c r="F2093" s="51"/>
      <c r="H2093" s="51"/>
      <c r="L2093" s="51"/>
      <c r="P2093" s="51"/>
      <c r="T2093" s="51"/>
      <c r="V2093" s="51"/>
      <c r="X2093" s="51"/>
    </row>
    <row r="2094" spans="6:24">
      <c r="F2094" s="51"/>
      <c r="H2094" s="51"/>
      <c r="L2094" s="51"/>
      <c r="P2094" s="51"/>
      <c r="T2094" s="51"/>
      <c r="V2094" s="51"/>
      <c r="X2094" s="51"/>
    </row>
    <row r="2095" spans="6:24">
      <c r="F2095" s="51"/>
      <c r="H2095" s="51"/>
      <c r="L2095" s="51"/>
      <c r="P2095" s="51"/>
      <c r="T2095" s="51"/>
      <c r="V2095" s="51"/>
      <c r="X2095" s="51"/>
    </row>
    <row r="2096" spans="6:24">
      <c r="F2096" s="51"/>
      <c r="H2096" s="51"/>
      <c r="L2096" s="51"/>
      <c r="P2096" s="51"/>
      <c r="T2096" s="51"/>
      <c r="V2096" s="51"/>
      <c r="X2096" s="51"/>
    </row>
    <row r="2097" spans="6:24">
      <c r="F2097" s="51"/>
      <c r="H2097" s="51"/>
      <c r="L2097" s="51"/>
      <c r="P2097" s="51"/>
      <c r="T2097" s="51"/>
      <c r="V2097" s="51"/>
      <c r="X2097" s="51"/>
    </row>
    <row r="2098" spans="6:24">
      <c r="F2098" s="51"/>
      <c r="H2098" s="51"/>
      <c r="L2098" s="51"/>
      <c r="P2098" s="51"/>
      <c r="T2098" s="51"/>
      <c r="V2098" s="51"/>
      <c r="X2098" s="51"/>
    </row>
    <row r="2099" spans="6:24">
      <c r="F2099" s="51"/>
      <c r="H2099" s="51"/>
      <c r="L2099" s="51"/>
      <c r="P2099" s="51"/>
      <c r="T2099" s="51"/>
      <c r="V2099" s="51"/>
      <c r="X2099" s="51"/>
    </row>
    <row r="2100" spans="6:24">
      <c r="F2100" s="51"/>
      <c r="H2100" s="51"/>
      <c r="L2100" s="51"/>
      <c r="P2100" s="51"/>
      <c r="T2100" s="51"/>
      <c r="V2100" s="51"/>
      <c r="X2100" s="51"/>
    </row>
    <row r="2101" spans="6:24">
      <c r="F2101" s="51"/>
      <c r="H2101" s="51"/>
      <c r="L2101" s="51"/>
      <c r="P2101" s="51"/>
      <c r="T2101" s="51"/>
      <c r="V2101" s="51"/>
      <c r="X2101" s="51"/>
    </row>
    <row r="2102" spans="6:24">
      <c r="F2102" s="51"/>
      <c r="H2102" s="51"/>
      <c r="L2102" s="51"/>
      <c r="P2102" s="51"/>
      <c r="T2102" s="51"/>
      <c r="V2102" s="51"/>
      <c r="X2102" s="51"/>
    </row>
    <row r="2103" spans="6:24">
      <c r="F2103" s="51"/>
      <c r="H2103" s="51"/>
      <c r="L2103" s="51"/>
      <c r="P2103" s="51"/>
      <c r="T2103" s="51"/>
      <c r="V2103" s="51"/>
      <c r="X2103" s="51"/>
    </row>
    <row r="2104" spans="6:24">
      <c r="F2104" s="51"/>
      <c r="H2104" s="51"/>
      <c r="L2104" s="51"/>
      <c r="P2104" s="51"/>
      <c r="T2104" s="51"/>
      <c r="V2104" s="51"/>
      <c r="X2104" s="51"/>
    </row>
    <row r="2105" spans="6:24">
      <c r="F2105" s="51"/>
      <c r="H2105" s="51"/>
      <c r="L2105" s="51"/>
      <c r="P2105" s="51"/>
      <c r="T2105" s="51"/>
      <c r="V2105" s="51"/>
      <c r="X2105" s="51"/>
    </row>
    <row r="2106" spans="6:24">
      <c r="F2106" s="51"/>
      <c r="H2106" s="51"/>
      <c r="L2106" s="51"/>
      <c r="P2106" s="51"/>
      <c r="T2106" s="51"/>
      <c r="V2106" s="51"/>
      <c r="X2106" s="51"/>
    </row>
    <row r="2107" spans="6:24">
      <c r="F2107" s="51"/>
      <c r="H2107" s="51"/>
      <c r="L2107" s="51"/>
      <c r="P2107" s="51"/>
      <c r="T2107" s="51"/>
      <c r="V2107" s="51"/>
      <c r="X2107" s="51"/>
    </row>
    <row r="2108" spans="6:24">
      <c r="F2108" s="51"/>
      <c r="H2108" s="51"/>
      <c r="L2108" s="51"/>
      <c r="P2108" s="51"/>
      <c r="T2108" s="51"/>
      <c r="V2108" s="51"/>
      <c r="X2108" s="51"/>
    </row>
    <row r="2109" spans="6:24">
      <c r="F2109" s="51"/>
      <c r="H2109" s="51"/>
      <c r="L2109" s="51"/>
      <c r="P2109" s="51"/>
      <c r="T2109" s="51"/>
      <c r="V2109" s="51"/>
      <c r="X2109" s="51"/>
    </row>
    <row r="2110" spans="6:24">
      <c r="F2110" s="51"/>
      <c r="H2110" s="51"/>
      <c r="L2110" s="51"/>
      <c r="P2110" s="51"/>
      <c r="T2110" s="51"/>
      <c r="V2110" s="51"/>
      <c r="X2110" s="51"/>
    </row>
    <row r="2111" spans="6:24">
      <c r="F2111" s="51"/>
      <c r="H2111" s="51"/>
      <c r="L2111" s="51"/>
      <c r="P2111" s="51"/>
      <c r="T2111" s="51"/>
      <c r="V2111" s="51"/>
      <c r="X2111" s="51"/>
    </row>
    <row r="2112" spans="6:24">
      <c r="F2112" s="51"/>
      <c r="H2112" s="51"/>
      <c r="L2112" s="51"/>
      <c r="P2112" s="51"/>
      <c r="T2112" s="51"/>
      <c r="V2112" s="51"/>
      <c r="X2112" s="51"/>
    </row>
    <row r="2113" spans="6:24">
      <c r="F2113" s="51"/>
      <c r="H2113" s="51"/>
      <c r="L2113" s="51"/>
      <c r="P2113" s="51"/>
      <c r="T2113" s="51"/>
      <c r="V2113" s="51"/>
      <c r="X2113" s="51"/>
    </row>
    <row r="2114" spans="6:24">
      <c r="F2114" s="51"/>
      <c r="H2114" s="51"/>
      <c r="L2114" s="51"/>
      <c r="P2114" s="51"/>
      <c r="T2114" s="51"/>
      <c r="V2114" s="51"/>
      <c r="X2114" s="51"/>
    </row>
    <row r="2115" spans="6:24">
      <c r="F2115" s="51"/>
      <c r="H2115" s="51"/>
      <c r="L2115" s="51"/>
      <c r="P2115" s="51"/>
      <c r="T2115" s="51"/>
      <c r="V2115" s="51"/>
      <c r="X2115" s="51"/>
    </row>
    <row r="2116" spans="6:24">
      <c r="F2116" s="51"/>
      <c r="H2116" s="51"/>
      <c r="L2116" s="51"/>
      <c r="P2116" s="51"/>
      <c r="T2116" s="51"/>
      <c r="V2116" s="51"/>
      <c r="X2116" s="51"/>
    </row>
    <row r="2117" spans="6:24">
      <c r="F2117" s="51"/>
      <c r="H2117" s="51"/>
      <c r="L2117" s="51"/>
      <c r="P2117" s="51"/>
      <c r="T2117" s="51"/>
      <c r="V2117" s="51"/>
      <c r="X2117" s="51"/>
    </row>
    <row r="2118" spans="6:24">
      <c r="F2118" s="51"/>
      <c r="H2118" s="51"/>
      <c r="L2118" s="51"/>
      <c r="P2118" s="51"/>
      <c r="T2118" s="51"/>
      <c r="V2118" s="51"/>
      <c r="X2118" s="51"/>
    </row>
    <row r="2119" spans="6:24">
      <c r="F2119" s="51"/>
      <c r="H2119" s="51"/>
      <c r="L2119" s="51"/>
      <c r="P2119" s="51"/>
      <c r="T2119" s="51"/>
      <c r="V2119" s="51"/>
      <c r="X2119" s="51"/>
    </row>
    <row r="2120" spans="6:24">
      <c r="F2120" s="51"/>
      <c r="H2120" s="51"/>
      <c r="L2120" s="51"/>
      <c r="P2120" s="51"/>
      <c r="T2120" s="51"/>
      <c r="V2120" s="51"/>
      <c r="X2120" s="51"/>
    </row>
    <row r="2121" spans="6:24">
      <c r="F2121" s="51"/>
      <c r="H2121" s="51"/>
      <c r="L2121" s="51"/>
      <c r="P2121" s="51"/>
      <c r="T2121" s="51"/>
      <c r="V2121" s="51"/>
      <c r="X2121" s="51"/>
    </row>
    <row r="2122" spans="6:24">
      <c r="F2122" s="51"/>
      <c r="H2122" s="51"/>
      <c r="L2122" s="51"/>
      <c r="P2122" s="51"/>
      <c r="T2122" s="51"/>
      <c r="V2122" s="51"/>
      <c r="X2122" s="51"/>
    </row>
    <row r="2123" spans="6:24">
      <c r="F2123" s="51"/>
      <c r="H2123" s="51"/>
      <c r="L2123" s="51"/>
      <c r="P2123" s="51"/>
      <c r="T2123" s="51"/>
      <c r="V2123" s="51"/>
      <c r="X2123" s="51"/>
    </row>
    <row r="2124" spans="6:24">
      <c r="F2124" s="51"/>
      <c r="H2124" s="51"/>
      <c r="L2124" s="51"/>
      <c r="P2124" s="51"/>
      <c r="T2124" s="51"/>
      <c r="V2124" s="51"/>
      <c r="X2124" s="51"/>
    </row>
    <row r="2125" spans="6:24">
      <c r="F2125" s="51"/>
      <c r="H2125" s="51"/>
      <c r="L2125" s="51"/>
      <c r="P2125" s="51"/>
      <c r="T2125" s="51"/>
      <c r="V2125" s="51"/>
      <c r="X2125" s="51"/>
    </row>
    <row r="2126" spans="6:24">
      <c r="F2126" s="51"/>
      <c r="H2126" s="51"/>
      <c r="L2126" s="51"/>
      <c r="P2126" s="51"/>
      <c r="T2126" s="51"/>
      <c r="V2126" s="51"/>
      <c r="X2126" s="51"/>
    </row>
    <row r="2127" spans="6:24">
      <c r="F2127" s="51"/>
      <c r="H2127" s="51"/>
      <c r="L2127" s="51"/>
      <c r="P2127" s="51"/>
      <c r="T2127" s="51"/>
      <c r="V2127" s="51"/>
      <c r="X2127" s="51"/>
    </row>
    <row r="2128" spans="6:24">
      <c r="F2128" s="51"/>
      <c r="H2128" s="51"/>
      <c r="L2128" s="51"/>
      <c r="P2128" s="51"/>
      <c r="T2128" s="51"/>
      <c r="V2128" s="51"/>
      <c r="X2128" s="51"/>
    </row>
    <row r="2129" spans="6:24">
      <c r="F2129" s="51"/>
      <c r="H2129" s="51"/>
      <c r="L2129" s="51"/>
      <c r="P2129" s="51"/>
      <c r="T2129" s="51"/>
      <c r="V2129" s="51"/>
      <c r="X2129" s="51"/>
    </row>
    <row r="2130" spans="6:24">
      <c r="F2130" s="51"/>
      <c r="H2130" s="51"/>
      <c r="L2130" s="51"/>
      <c r="P2130" s="51"/>
      <c r="T2130" s="51"/>
      <c r="V2130" s="51"/>
      <c r="X2130" s="51"/>
    </row>
    <row r="2131" spans="6:24">
      <c r="F2131" s="51"/>
      <c r="H2131" s="51"/>
      <c r="L2131" s="51"/>
      <c r="P2131" s="51"/>
      <c r="T2131" s="51"/>
      <c r="V2131" s="51"/>
      <c r="X2131" s="51"/>
    </row>
    <row r="2132" spans="6:24">
      <c r="F2132" s="51"/>
      <c r="H2132" s="51"/>
      <c r="L2132" s="51"/>
      <c r="P2132" s="51"/>
      <c r="T2132" s="51"/>
      <c r="V2132" s="51"/>
      <c r="X2132" s="51"/>
    </row>
    <row r="2133" spans="6:24">
      <c r="F2133" s="51"/>
      <c r="H2133" s="51"/>
      <c r="L2133" s="51"/>
      <c r="P2133" s="51"/>
      <c r="T2133" s="51"/>
      <c r="V2133" s="51"/>
      <c r="X2133" s="51"/>
    </row>
    <row r="2134" spans="6:24">
      <c r="F2134" s="51"/>
      <c r="H2134" s="51"/>
      <c r="L2134" s="51"/>
      <c r="P2134" s="51"/>
      <c r="T2134" s="51"/>
      <c r="V2134" s="51"/>
      <c r="X2134" s="51"/>
    </row>
    <row r="2135" spans="6:24">
      <c r="F2135" s="51"/>
      <c r="H2135" s="51"/>
      <c r="L2135" s="51"/>
      <c r="P2135" s="51"/>
      <c r="T2135" s="51"/>
      <c r="V2135" s="51"/>
      <c r="X2135" s="51"/>
    </row>
    <row r="2136" spans="6:24">
      <c r="F2136" s="51"/>
      <c r="H2136" s="51"/>
      <c r="L2136" s="51"/>
      <c r="P2136" s="51"/>
      <c r="T2136" s="51"/>
      <c r="V2136" s="51"/>
      <c r="X2136" s="51"/>
    </row>
    <row r="2137" spans="6:24">
      <c r="F2137" s="51"/>
      <c r="H2137" s="51"/>
      <c r="L2137" s="51"/>
      <c r="P2137" s="51"/>
      <c r="T2137" s="51"/>
      <c r="V2137" s="51"/>
      <c r="X2137" s="51"/>
    </row>
    <row r="2138" spans="6:24">
      <c r="F2138" s="51"/>
      <c r="H2138" s="51"/>
      <c r="L2138" s="51"/>
      <c r="P2138" s="51"/>
      <c r="T2138" s="51"/>
      <c r="V2138" s="51"/>
      <c r="X2138" s="51"/>
    </row>
    <row r="2139" spans="6:24">
      <c r="F2139" s="51"/>
      <c r="H2139" s="51"/>
      <c r="L2139" s="51"/>
      <c r="P2139" s="51"/>
      <c r="T2139" s="51"/>
      <c r="V2139" s="51"/>
      <c r="X2139" s="51"/>
    </row>
    <row r="2140" spans="6:24">
      <c r="F2140" s="51"/>
      <c r="H2140" s="51"/>
      <c r="L2140" s="51"/>
      <c r="P2140" s="51"/>
      <c r="T2140" s="51"/>
      <c r="V2140" s="51"/>
      <c r="X2140" s="51"/>
    </row>
    <row r="2141" spans="6:24">
      <c r="F2141" s="51"/>
      <c r="H2141" s="51"/>
      <c r="L2141" s="51"/>
      <c r="P2141" s="51"/>
      <c r="T2141" s="51"/>
      <c r="V2141" s="51"/>
      <c r="X2141" s="51"/>
    </row>
    <row r="2142" spans="6:24">
      <c r="F2142" s="51"/>
      <c r="H2142" s="51"/>
      <c r="L2142" s="51"/>
      <c r="P2142" s="51"/>
      <c r="T2142" s="51"/>
      <c r="V2142" s="51"/>
      <c r="X2142" s="51"/>
    </row>
    <row r="2143" spans="6:24">
      <c r="F2143" s="51"/>
      <c r="H2143" s="51"/>
      <c r="L2143" s="51"/>
      <c r="P2143" s="51"/>
      <c r="T2143" s="51"/>
      <c r="V2143" s="51"/>
      <c r="X2143" s="51"/>
    </row>
    <row r="2144" spans="6:24">
      <c r="F2144" s="51"/>
      <c r="H2144" s="51"/>
      <c r="L2144" s="51"/>
      <c r="P2144" s="51"/>
      <c r="T2144" s="51"/>
      <c r="V2144" s="51"/>
      <c r="X2144" s="51"/>
    </row>
    <row r="2145" spans="6:24">
      <c r="F2145" s="51"/>
      <c r="H2145" s="51"/>
      <c r="L2145" s="51"/>
      <c r="P2145" s="51"/>
      <c r="T2145" s="51"/>
      <c r="V2145" s="51"/>
      <c r="X2145" s="51"/>
    </row>
    <row r="2146" spans="6:24">
      <c r="F2146" s="51"/>
      <c r="H2146" s="51"/>
      <c r="L2146" s="51"/>
      <c r="P2146" s="51"/>
      <c r="T2146" s="51"/>
      <c r="V2146" s="51"/>
      <c r="X2146" s="51"/>
    </row>
    <row r="2147" spans="6:24">
      <c r="F2147" s="51"/>
      <c r="H2147" s="51"/>
      <c r="L2147" s="51"/>
      <c r="P2147" s="51"/>
      <c r="T2147" s="51"/>
      <c r="V2147" s="51"/>
      <c r="X2147" s="51"/>
    </row>
    <row r="2148" spans="6:24">
      <c r="F2148" s="51"/>
      <c r="H2148" s="51"/>
      <c r="L2148" s="51"/>
      <c r="P2148" s="51"/>
      <c r="T2148" s="51"/>
      <c r="V2148" s="51"/>
      <c r="X2148" s="51"/>
    </row>
    <row r="2149" spans="6:24">
      <c r="F2149" s="51"/>
      <c r="H2149" s="51"/>
      <c r="L2149" s="51"/>
      <c r="P2149" s="51"/>
      <c r="T2149" s="51"/>
      <c r="V2149" s="51"/>
      <c r="X2149" s="51"/>
    </row>
    <row r="2150" spans="6:24">
      <c r="F2150" s="51"/>
      <c r="H2150" s="51"/>
      <c r="L2150" s="51"/>
      <c r="P2150" s="51"/>
      <c r="T2150" s="51"/>
      <c r="V2150" s="51"/>
      <c r="X2150" s="51"/>
    </row>
    <row r="2151" spans="6:24">
      <c r="F2151" s="51"/>
      <c r="H2151" s="51"/>
      <c r="L2151" s="51"/>
      <c r="P2151" s="51"/>
      <c r="T2151" s="51"/>
      <c r="V2151" s="51"/>
      <c r="X2151" s="51"/>
    </row>
    <row r="2152" spans="6:24">
      <c r="F2152" s="51"/>
      <c r="H2152" s="51"/>
      <c r="L2152" s="51"/>
      <c r="P2152" s="51"/>
      <c r="T2152" s="51"/>
      <c r="V2152" s="51"/>
      <c r="X2152" s="51"/>
    </row>
    <row r="2153" spans="6:24">
      <c r="F2153" s="51"/>
      <c r="H2153" s="51"/>
      <c r="L2153" s="51"/>
      <c r="P2153" s="51"/>
      <c r="T2153" s="51"/>
      <c r="V2153" s="51"/>
      <c r="X2153" s="51"/>
    </row>
    <row r="2154" spans="6:24">
      <c r="F2154" s="51"/>
      <c r="H2154" s="51"/>
      <c r="L2154" s="51"/>
      <c r="P2154" s="51"/>
      <c r="T2154" s="51"/>
      <c r="V2154" s="51"/>
      <c r="X2154" s="51"/>
    </row>
    <row r="2155" spans="6:24">
      <c r="F2155" s="51"/>
      <c r="H2155" s="51"/>
      <c r="L2155" s="51"/>
      <c r="P2155" s="51"/>
      <c r="T2155" s="51"/>
      <c r="V2155" s="51"/>
      <c r="X2155" s="51"/>
    </row>
    <row r="2156" spans="6:24">
      <c r="F2156" s="51"/>
      <c r="H2156" s="51"/>
      <c r="L2156" s="51"/>
      <c r="P2156" s="51"/>
      <c r="T2156" s="51"/>
      <c r="V2156" s="51"/>
      <c r="X2156" s="51"/>
    </row>
    <row r="2157" spans="6:24">
      <c r="F2157" s="51"/>
      <c r="H2157" s="51"/>
      <c r="L2157" s="51"/>
      <c r="P2157" s="51"/>
      <c r="T2157" s="51"/>
      <c r="V2157" s="51"/>
      <c r="X2157" s="51"/>
    </row>
    <row r="2158" spans="6:24">
      <c r="F2158" s="51"/>
      <c r="H2158" s="51"/>
      <c r="L2158" s="51"/>
      <c r="P2158" s="51"/>
      <c r="T2158" s="51"/>
      <c r="V2158" s="51"/>
      <c r="X2158" s="51"/>
    </row>
    <row r="2159" spans="6:24">
      <c r="F2159" s="51"/>
      <c r="H2159" s="51"/>
      <c r="L2159" s="51"/>
      <c r="P2159" s="51"/>
      <c r="T2159" s="51"/>
      <c r="V2159" s="51"/>
      <c r="X2159" s="51"/>
    </row>
    <row r="2160" spans="6:24">
      <c r="F2160" s="51"/>
      <c r="H2160" s="51"/>
      <c r="L2160" s="51"/>
      <c r="P2160" s="51"/>
      <c r="T2160" s="51"/>
      <c r="V2160" s="51"/>
      <c r="X2160" s="51"/>
    </row>
    <row r="2161" spans="6:24">
      <c r="F2161" s="51"/>
      <c r="H2161" s="51"/>
      <c r="L2161" s="51"/>
      <c r="P2161" s="51"/>
      <c r="T2161" s="51"/>
      <c r="V2161" s="51"/>
      <c r="X2161" s="51"/>
    </row>
    <row r="2162" spans="6:24">
      <c r="F2162" s="51"/>
      <c r="H2162" s="51"/>
      <c r="L2162" s="51"/>
      <c r="P2162" s="51"/>
      <c r="T2162" s="51"/>
      <c r="V2162" s="51"/>
      <c r="X2162" s="51"/>
    </row>
    <row r="2163" spans="6:24">
      <c r="F2163" s="51"/>
      <c r="H2163" s="51"/>
      <c r="L2163" s="51"/>
      <c r="P2163" s="51"/>
      <c r="T2163" s="51"/>
      <c r="V2163" s="51"/>
      <c r="X2163" s="51"/>
    </row>
    <row r="2164" spans="6:24">
      <c r="F2164" s="51"/>
      <c r="H2164" s="51"/>
      <c r="L2164" s="51"/>
      <c r="P2164" s="51"/>
      <c r="T2164" s="51"/>
      <c r="V2164" s="51"/>
      <c r="X2164" s="51"/>
    </row>
    <row r="2165" spans="6:24">
      <c r="F2165" s="51"/>
      <c r="H2165" s="51"/>
      <c r="L2165" s="51"/>
      <c r="P2165" s="51"/>
      <c r="T2165" s="51"/>
      <c r="V2165" s="51"/>
      <c r="X2165" s="51"/>
    </row>
    <row r="2166" spans="6:24">
      <c r="F2166" s="51"/>
      <c r="H2166" s="51"/>
      <c r="L2166" s="51"/>
      <c r="P2166" s="51"/>
      <c r="T2166" s="51"/>
      <c r="V2166" s="51"/>
      <c r="X2166" s="51"/>
    </row>
    <row r="2167" spans="6:24">
      <c r="F2167" s="51"/>
      <c r="H2167" s="51"/>
      <c r="L2167" s="51"/>
      <c r="P2167" s="51"/>
      <c r="T2167" s="51"/>
      <c r="V2167" s="51"/>
      <c r="X2167" s="51"/>
    </row>
    <row r="2168" spans="6:24">
      <c r="F2168" s="51"/>
      <c r="H2168" s="51"/>
      <c r="L2168" s="51"/>
      <c r="P2168" s="51"/>
      <c r="T2168" s="51"/>
      <c r="V2168" s="51"/>
      <c r="X2168" s="51"/>
    </row>
    <row r="2169" spans="6:24">
      <c r="F2169" s="51"/>
      <c r="H2169" s="51"/>
      <c r="L2169" s="51"/>
      <c r="P2169" s="51"/>
      <c r="T2169" s="51"/>
      <c r="V2169" s="51"/>
      <c r="X2169" s="51"/>
    </row>
    <row r="2170" spans="6:24">
      <c r="F2170" s="51"/>
      <c r="H2170" s="51"/>
      <c r="L2170" s="51"/>
      <c r="P2170" s="51"/>
      <c r="T2170" s="51"/>
      <c r="V2170" s="51"/>
      <c r="X2170" s="51"/>
    </row>
    <row r="2171" spans="6:24">
      <c r="F2171" s="51"/>
      <c r="H2171" s="51"/>
      <c r="L2171" s="51"/>
      <c r="P2171" s="51"/>
      <c r="T2171" s="51"/>
      <c r="V2171" s="51"/>
      <c r="X2171" s="51"/>
    </row>
    <row r="2172" spans="6:24">
      <c r="F2172" s="51"/>
      <c r="H2172" s="51"/>
      <c r="L2172" s="51"/>
      <c r="P2172" s="51"/>
      <c r="T2172" s="51"/>
      <c r="V2172" s="51"/>
      <c r="X2172" s="51"/>
    </row>
    <row r="2173" spans="6:24">
      <c r="F2173" s="51"/>
      <c r="H2173" s="51"/>
      <c r="L2173" s="51"/>
      <c r="P2173" s="51"/>
      <c r="T2173" s="51"/>
      <c r="V2173" s="51"/>
      <c r="X2173" s="51"/>
    </row>
    <row r="2174" spans="6:24">
      <c r="F2174" s="51"/>
      <c r="H2174" s="51"/>
      <c r="L2174" s="51"/>
      <c r="P2174" s="51"/>
      <c r="T2174" s="51"/>
      <c r="V2174" s="51"/>
      <c r="X2174" s="51"/>
    </row>
    <row r="2175" spans="6:24">
      <c r="F2175" s="51"/>
      <c r="H2175" s="51"/>
      <c r="L2175" s="51"/>
      <c r="P2175" s="51"/>
      <c r="T2175" s="51"/>
      <c r="V2175" s="51"/>
      <c r="X2175" s="51"/>
    </row>
    <row r="2176" spans="6:24">
      <c r="F2176" s="51"/>
      <c r="H2176" s="51"/>
      <c r="L2176" s="51"/>
      <c r="P2176" s="51"/>
      <c r="T2176" s="51"/>
      <c r="V2176" s="51"/>
      <c r="X2176" s="51"/>
    </row>
    <row r="2177" spans="6:24">
      <c r="F2177" s="51"/>
      <c r="H2177" s="51"/>
      <c r="L2177" s="51"/>
      <c r="P2177" s="51"/>
      <c r="T2177" s="51"/>
      <c r="V2177" s="51"/>
      <c r="X2177" s="51"/>
    </row>
    <row r="2178" spans="6:24">
      <c r="F2178" s="51"/>
      <c r="H2178" s="51"/>
      <c r="L2178" s="51"/>
      <c r="P2178" s="51"/>
      <c r="T2178" s="51"/>
      <c r="V2178" s="51"/>
      <c r="X2178" s="51"/>
    </row>
    <row r="2179" spans="6:24">
      <c r="F2179" s="51"/>
      <c r="H2179" s="51"/>
      <c r="L2179" s="51"/>
      <c r="P2179" s="51"/>
      <c r="T2179" s="51"/>
      <c r="V2179" s="51"/>
      <c r="X2179" s="51"/>
    </row>
    <row r="2180" spans="6:24">
      <c r="F2180" s="51"/>
      <c r="H2180" s="51"/>
      <c r="L2180" s="51"/>
      <c r="P2180" s="51"/>
      <c r="T2180" s="51"/>
      <c r="V2180" s="51"/>
      <c r="X2180" s="51"/>
    </row>
    <row r="2181" spans="6:24">
      <c r="F2181" s="51"/>
      <c r="H2181" s="51"/>
      <c r="L2181" s="51"/>
      <c r="P2181" s="51"/>
      <c r="T2181" s="51"/>
      <c r="V2181" s="51"/>
      <c r="X2181" s="51"/>
    </row>
    <row r="2182" spans="6:24">
      <c r="F2182" s="51"/>
      <c r="H2182" s="51"/>
      <c r="L2182" s="51"/>
      <c r="P2182" s="51"/>
      <c r="T2182" s="51"/>
      <c r="V2182" s="51"/>
      <c r="X2182" s="51"/>
    </row>
    <row r="2183" spans="6:24">
      <c r="F2183" s="51"/>
      <c r="H2183" s="51"/>
      <c r="L2183" s="51"/>
      <c r="P2183" s="51"/>
      <c r="T2183" s="51"/>
      <c r="V2183" s="51"/>
      <c r="X2183" s="51"/>
    </row>
    <row r="2184" spans="6:24">
      <c r="F2184" s="51"/>
      <c r="H2184" s="51"/>
      <c r="L2184" s="51"/>
      <c r="P2184" s="51"/>
      <c r="T2184" s="51"/>
      <c r="V2184" s="51"/>
      <c r="X2184" s="51"/>
    </row>
    <row r="2185" spans="6:24">
      <c r="F2185" s="51"/>
      <c r="H2185" s="51"/>
      <c r="L2185" s="51"/>
      <c r="P2185" s="51"/>
      <c r="T2185" s="51"/>
      <c r="V2185" s="51"/>
      <c r="X2185" s="51"/>
    </row>
    <row r="2186" spans="6:24">
      <c r="F2186" s="51"/>
      <c r="H2186" s="51"/>
      <c r="L2186" s="51"/>
      <c r="P2186" s="51"/>
      <c r="T2186" s="51"/>
      <c r="V2186" s="51"/>
      <c r="X2186" s="51"/>
    </row>
    <row r="2187" spans="6:24">
      <c r="F2187" s="51"/>
      <c r="H2187" s="51"/>
      <c r="L2187" s="51"/>
      <c r="P2187" s="51"/>
      <c r="T2187" s="51"/>
      <c r="V2187" s="51"/>
      <c r="X2187" s="51"/>
    </row>
    <row r="2188" spans="6:24">
      <c r="F2188" s="51"/>
      <c r="H2188" s="51"/>
      <c r="L2188" s="51"/>
      <c r="P2188" s="51"/>
      <c r="T2188" s="51"/>
      <c r="V2188" s="51"/>
      <c r="X2188" s="51"/>
    </row>
    <row r="2189" spans="6:24">
      <c r="F2189" s="51"/>
      <c r="H2189" s="51"/>
      <c r="L2189" s="51"/>
      <c r="P2189" s="51"/>
      <c r="T2189" s="51"/>
      <c r="V2189" s="51"/>
      <c r="X2189" s="51"/>
    </row>
    <row r="2190" spans="6:24">
      <c r="F2190" s="51"/>
      <c r="H2190" s="51"/>
      <c r="L2190" s="51"/>
      <c r="P2190" s="51"/>
      <c r="T2190" s="51"/>
      <c r="V2190" s="51"/>
      <c r="X2190" s="51"/>
    </row>
    <row r="2191" spans="6:24">
      <c r="F2191" s="51"/>
      <c r="H2191" s="51"/>
      <c r="L2191" s="51"/>
      <c r="P2191" s="51"/>
      <c r="T2191" s="51"/>
      <c r="V2191" s="51"/>
      <c r="X2191" s="51"/>
    </row>
    <row r="2192" spans="6:24">
      <c r="F2192" s="51"/>
      <c r="H2192" s="51"/>
      <c r="L2192" s="51"/>
      <c r="P2192" s="51"/>
      <c r="T2192" s="51"/>
      <c r="V2192" s="51"/>
      <c r="X2192" s="51"/>
    </row>
    <row r="2193" spans="6:24">
      <c r="F2193" s="51"/>
      <c r="H2193" s="51"/>
      <c r="L2193" s="51"/>
      <c r="P2193" s="51"/>
      <c r="T2193" s="51"/>
      <c r="V2193" s="51"/>
      <c r="X2193" s="51"/>
    </row>
    <row r="2194" spans="6:24">
      <c r="F2194" s="51"/>
      <c r="H2194" s="51"/>
      <c r="L2194" s="51"/>
      <c r="P2194" s="51"/>
      <c r="T2194" s="51"/>
      <c r="V2194" s="51"/>
      <c r="X2194" s="51"/>
    </row>
    <row r="2195" spans="6:24">
      <c r="F2195" s="51"/>
      <c r="H2195" s="51"/>
      <c r="L2195" s="51"/>
      <c r="P2195" s="51"/>
      <c r="T2195" s="51"/>
      <c r="V2195" s="51"/>
      <c r="X2195" s="51"/>
    </row>
    <row r="2196" spans="6:24">
      <c r="F2196" s="51"/>
      <c r="H2196" s="51"/>
      <c r="L2196" s="51"/>
      <c r="P2196" s="51"/>
      <c r="T2196" s="51"/>
      <c r="V2196" s="51"/>
      <c r="X2196" s="51"/>
    </row>
    <row r="2197" spans="6:24">
      <c r="F2197" s="51"/>
      <c r="H2197" s="51"/>
      <c r="L2197" s="51"/>
      <c r="P2197" s="51"/>
      <c r="T2197" s="51"/>
      <c r="V2197" s="51"/>
      <c r="X2197" s="51"/>
    </row>
    <row r="2198" spans="6:24">
      <c r="F2198" s="51"/>
      <c r="H2198" s="51"/>
      <c r="L2198" s="51"/>
      <c r="P2198" s="51"/>
      <c r="T2198" s="51"/>
      <c r="V2198" s="51"/>
      <c r="X2198" s="51"/>
    </row>
    <row r="2199" spans="6:24">
      <c r="F2199" s="51"/>
      <c r="H2199" s="51"/>
      <c r="L2199" s="51"/>
      <c r="P2199" s="51"/>
      <c r="T2199" s="51"/>
      <c r="V2199" s="51"/>
      <c r="X2199" s="51"/>
    </row>
    <row r="2200" spans="6:24">
      <c r="F2200" s="51"/>
      <c r="H2200" s="51"/>
      <c r="L2200" s="51"/>
      <c r="P2200" s="51"/>
      <c r="T2200" s="51"/>
      <c r="V2200" s="51"/>
      <c r="X2200" s="51"/>
    </row>
    <row r="2201" spans="6:24">
      <c r="F2201" s="51"/>
      <c r="H2201" s="51"/>
      <c r="L2201" s="51"/>
      <c r="P2201" s="51"/>
      <c r="T2201" s="51"/>
      <c r="V2201" s="51"/>
      <c r="X2201" s="51"/>
    </row>
    <row r="2202" spans="6:24">
      <c r="F2202" s="51"/>
      <c r="H2202" s="51"/>
      <c r="L2202" s="51"/>
      <c r="P2202" s="51"/>
      <c r="T2202" s="51"/>
      <c r="V2202" s="51"/>
      <c r="X2202" s="51"/>
    </row>
    <row r="2203" spans="6:24">
      <c r="F2203" s="51"/>
      <c r="H2203" s="51"/>
      <c r="L2203" s="51"/>
      <c r="P2203" s="51"/>
      <c r="T2203" s="51"/>
      <c r="V2203" s="51"/>
      <c r="X2203" s="51"/>
    </row>
    <row r="2204" spans="6:24">
      <c r="F2204" s="51"/>
      <c r="H2204" s="51"/>
      <c r="L2204" s="51"/>
      <c r="P2204" s="51"/>
      <c r="T2204" s="51"/>
      <c r="V2204" s="51"/>
      <c r="X2204" s="51"/>
    </row>
    <row r="2205" spans="6:24">
      <c r="F2205" s="51"/>
      <c r="H2205" s="51"/>
      <c r="L2205" s="51"/>
      <c r="P2205" s="51"/>
      <c r="T2205" s="51"/>
      <c r="V2205" s="51"/>
      <c r="X2205" s="51"/>
    </row>
    <row r="2206" spans="6:24">
      <c r="F2206" s="51"/>
      <c r="H2206" s="51"/>
      <c r="L2206" s="51"/>
      <c r="P2206" s="51"/>
      <c r="T2206" s="51"/>
      <c r="V2206" s="51"/>
      <c r="X2206" s="51"/>
    </row>
    <row r="2207" spans="6:24">
      <c r="F2207" s="51"/>
      <c r="H2207" s="51"/>
      <c r="L2207" s="51"/>
      <c r="P2207" s="51"/>
      <c r="T2207" s="51"/>
      <c r="V2207" s="51"/>
      <c r="X2207" s="51"/>
    </row>
    <row r="2208" spans="6:24">
      <c r="F2208" s="51"/>
      <c r="H2208" s="51"/>
      <c r="L2208" s="51"/>
      <c r="P2208" s="51"/>
      <c r="T2208" s="51"/>
      <c r="V2208" s="51"/>
      <c r="X2208" s="51"/>
    </row>
    <row r="2209" spans="6:24">
      <c r="F2209" s="51"/>
      <c r="H2209" s="51"/>
      <c r="L2209" s="51"/>
      <c r="P2209" s="51"/>
      <c r="T2209" s="51"/>
      <c r="V2209" s="51"/>
      <c r="X2209" s="51"/>
    </row>
    <row r="2210" spans="6:24">
      <c r="F2210" s="51"/>
      <c r="H2210" s="51"/>
      <c r="L2210" s="51"/>
      <c r="P2210" s="51"/>
      <c r="T2210" s="51"/>
      <c r="V2210" s="51"/>
      <c r="X2210" s="51"/>
    </row>
    <row r="2211" spans="6:24">
      <c r="F2211" s="51"/>
      <c r="H2211" s="51"/>
      <c r="L2211" s="51"/>
      <c r="P2211" s="51"/>
      <c r="T2211" s="51"/>
      <c r="V2211" s="51"/>
      <c r="X2211" s="51"/>
    </row>
    <row r="2212" spans="6:24">
      <c r="F2212" s="51"/>
      <c r="H2212" s="51"/>
      <c r="L2212" s="51"/>
      <c r="P2212" s="51"/>
      <c r="T2212" s="51"/>
      <c r="V2212" s="51"/>
      <c r="X2212" s="51"/>
    </row>
    <row r="2213" spans="6:24">
      <c r="F2213" s="51"/>
      <c r="H2213" s="51"/>
      <c r="L2213" s="51"/>
      <c r="P2213" s="51"/>
      <c r="T2213" s="51"/>
      <c r="V2213" s="51"/>
      <c r="X2213" s="51"/>
    </row>
    <row r="2214" spans="6:24">
      <c r="F2214" s="51"/>
      <c r="H2214" s="51"/>
      <c r="L2214" s="51"/>
      <c r="P2214" s="51"/>
      <c r="T2214" s="51"/>
      <c r="V2214" s="51"/>
      <c r="X2214" s="51"/>
    </row>
    <row r="2215" spans="6:24">
      <c r="F2215" s="51"/>
      <c r="H2215" s="51"/>
      <c r="L2215" s="51"/>
      <c r="P2215" s="51"/>
      <c r="T2215" s="51"/>
      <c r="V2215" s="51"/>
      <c r="X2215" s="51"/>
    </row>
    <row r="2216" spans="6:24">
      <c r="F2216" s="51"/>
      <c r="H2216" s="51"/>
      <c r="L2216" s="51"/>
      <c r="P2216" s="51"/>
      <c r="T2216" s="51"/>
      <c r="V2216" s="51"/>
      <c r="X2216" s="51"/>
    </row>
    <row r="2217" spans="6:24">
      <c r="F2217" s="51"/>
      <c r="H2217" s="51"/>
      <c r="L2217" s="51"/>
      <c r="P2217" s="51"/>
      <c r="T2217" s="51"/>
      <c r="V2217" s="51"/>
      <c r="X2217" s="51"/>
    </row>
    <row r="2218" spans="6:24">
      <c r="F2218" s="51"/>
      <c r="H2218" s="51"/>
      <c r="L2218" s="51"/>
      <c r="P2218" s="51"/>
      <c r="T2218" s="51"/>
      <c r="V2218" s="51"/>
      <c r="X2218" s="51"/>
    </row>
    <row r="2219" spans="6:24">
      <c r="F2219" s="51"/>
      <c r="H2219" s="51"/>
      <c r="L2219" s="51"/>
      <c r="P2219" s="51"/>
      <c r="T2219" s="51"/>
      <c r="V2219" s="51"/>
      <c r="X2219" s="51"/>
    </row>
    <row r="2220" spans="6:24">
      <c r="F2220" s="51"/>
      <c r="H2220" s="51"/>
      <c r="L2220" s="51"/>
      <c r="P2220" s="51"/>
      <c r="T2220" s="51"/>
      <c r="V2220" s="51"/>
      <c r="X2220" s="51"/>
    </row>
    <row r="2221" spans="6:24">
      <c r="F2221" s="51"/>
      <c r="H2221" s="51"/>
      <c r="L2221" s="51"/>
      <c r="P2221" s="51"/>
      <c r="T2221" s="51"/>
      <c r="V2221" s="51"/>
      <c r="X2221" s="51"/>
    </row>
    <row r="2222" spans="6:24">
      <c r="F2222" s="51"/>
      <c r="H2222" s="51"/>
      <c r="L2222" s="51"/>
      <c r="P2222" s="51"/>
      <c r="T2222" s="51"/>
      <c r="V2222" s="51"/>
      <c r="X2222" s="51"/>
    </row>
    <row r="2223" spans="6:24">
      <c r="F2223" s="51"/>
      <c r="H2223" s="51"/>
      <c r="L2223" s="51"/>
      <c r="P2223" s="51"/>
      <c r="T2223" s="51"/>
      <c r="V2223" s="51"/>
      <c r="X2223" s="51"/>
    </row>
    <row r="2224" spans="6:24">
      <c r="F2224" s="51"/>
      <c r="H2224" s="51"/>
      <c r="L2224" s="51"/>
      <c r="P2224" s="51"/>
      <c r="T2224" s="51"/>
      <c r="V2224" s="51"/>
      <c r="X2224" s="51"/>
    </row>
    <row r="2225" spans="6:24">
      <c r="F2225" s="51"/>
      <c r="H2225" s="51"/>
      <c r="L2225" s="51"/>
      <c r="P2225" s="51"/>
      <c r="T2225" s="51"/>
      <c r="V2225" s="51"/>
      <c r="X2225" s="51"/>
    </row>
    <row r="2226" spans="6:24">
      <c r="F2226" s="51"/>
      <c r="H2226" s="51"/>
      <c r="L2226" s="51"/>
      <c r="P2226" s="51"/>
      <c r="T2226" s="51"/>
      <c r="V2226" s="51"/>
      <c r="X2226" s="51"/>
    </row>
    <row r="2227" spans="6:24">
      <c r="F2227" s="51"/>
      <c r="H2227" s="51"/>
      <c r="L2227" s="51"/>
      <c r="P2227" s="51"/>
      <c r="T2227" s="51"/>
      <c r="V2227" s="51"/>
      <c r="X2227" s="51"/>
    </row>
    <row r="2228" spans="6:24">
      <c r="F2228" s="51"/>
      <c r="H2228" s="51"/>
      <c r="L2228" s="51"/>
      <c r="P2228" s="51"/>
      <c r="T2228" s="51"/>
      <c r="V2228" s="51"/>
      <c r="X2228" s="51"/>
    </row>
    <row r="2229" spans="6:24">
      <c r="F2229" s="51"/>
      <c r="H2229" s="51"/>
      <c r="L2229" s="51"/>
      <c r="P2229" s="51"/>
      <c r="T2229" s="51"/>
      <c r="V2229" s="51"/>
      <c r="X2229" s="51"/>
    </row>
    <row r="2230" spans="6:24">
      <c r="F2230" s="51"/>
      <c r="H2230" s="51"/>
      <c r="L2230" s="51"/>
      <c r="P2230" s="51"/>
      <c r="T2230" s="51"/>
      <c r="V2230" s="51"/>
      <c r="X2230" s="51"/>
    </row>
    <row r="2231" spans="6:24">
      <c r="F2231" s="51"/>
      <c r="H2231" s="51"/>
      <c r="L2231" s="51"/>
      <c r="P2231" s="51"/>
      <c r="T2231" s="51"/>
      <c r="V2231" s="51"/>
      <c r="X2231" s="51"/>
    </row>
    <row r="2232" spans="6:24">
      <c r="F2232" s="51"/>
      <c r="H2232" s="51"/>
      <c r="L2232" s="51"/>
      <c r="P2232" s="51"/>
      <c r="T2232" s="51"/>
      <c r="V2232" s="51"/>
      <c r="X2232" s="51"/>
    </row>
    <row r="2233" spans="6:24">
      <c r="F2233" s="51"/>
      <c r="H2233" s="51"/>
      <c r="L2233" s="51"/>
      <c r="P2233" s="51"/>
      <c r="T2233" s="51"/>
      <c r="V2233" s="51"/>
      <c r="X2233" s="51"/>
    </row>
    <row r="2234" spans="6:24">
      <c r="F2234" s="51"/>
      <c r="H2234" s="51"/>
      <c r="L2234" s="51"/>
      <c r="P2234" s="51"/>
      <c r="T2234" s="51"/>
      <c r="V2234" s="51"/>
      <c r="X2234" s="51"/>
    </row>
    <row r="2235" spans="6:24">
      <c r="F2235" s="51"/>
      <c r="H2235" s="51"/>
      <c r="L2235" s="51"/>
      <c r="P2235" s="51"/>
      <c r="T2235" s="51"/>
      <c r="V2235" s="51"/>
      <c r="X2235" s="51"/>
    </row>
    <row r="2236" spans="6:24">
      <c r="F2236" s="51"/>
      <c r="H2236" s="51"/>
      <c r="L2236" s="51"/>
      <c r="P2236" s="51"/>
      <c r="T2236" s="51"/>
      <c r="V2236" s="51"/>
      <c r="X2236" s="51"/>
    </row>
    <row r="2237" spans="6:24">
      <c r="F2237" s="51"/>
      <c r="H2237" s="51"/>
      <c r="L2237" s="51"/>
      <c r="P2237" s="51"/>
      <c r="T2237" s="51"/>
      <c r="V2237" s="51"/>
      <c r="X2237" s="51"/>
    </row>
    <row r="2238" spans="6:24">
      <c r="F2238" s="51"/>
      <c r="H2238" s="51"/>
      <c r="L2238" s="51"/>
      <c r="P2238" s="51"/>
      <c r="T2238" s="51"/>
      <c r="V2238" s="51"/>
      <c r="X2238" s="51"/>
    </row>
    <row r="2239" spans="6:24">
      <c r="F2239" s="51"/>
      <c r="H2239" s="51"/>
      <c r="L2239" s="51"/>
      <c r="P2239" s="51"/>
      <c r="T2239" s="51"/>
      <c r="V2239" s="51"/>
      <c r="X2239" s="51"/>
    </row>
    <row r="2240" spans="6:24">
      <c r="F2240" s="51"/>
      <c r="H2240" s="51"/>
      <c r="L2240" s="51"/>
      <c r="P2240" s="51"/>
      <c r="T2240" s="51"/>
      <c r="V2240" s="51"/>
      <c r="X2240" s="51"/>
    </row>
    <row r="2241" spans="6:24">
      <c r="F2241" s="51"/>
      <c r="H2241" s="51"/>
      <c r="L2241" s="51"/>
      <c r="P2241" s="51"/>
      <c r="T2241" s="51"/>
      <c r="V2241" s="51"/>
      <c r="X2241" s="51"/>
    </row>
    <row r="2242" spans="6:24">
      <c r="F2242" s="51"/>
      <c r="H2242" s="51"/>
      <c r="L2242" s="51"/>
      <c r="P2242" s="51"/>
      <c r="T2242" s="51"/>
      <c r="V2242" s="51"/>
      <c r="X2242" s="51"/>
    </row>
    <row r="2243" spans="6:24">
      <c r="F2243" s="51"/>
      <c r="H2243" s="51"/>
      <c r="L2243" s="51"/>
      <c r="P2243" s="51"/>
      <c r="T2243" s="51"/>
      <c r="V2243" s="51"/>
      <c r="X2243" s="51"/>
    </row>
    <row r="2244" spans="6:24">
      <c r="F2244" s="51"/>
      <c r="H2244" s="51"/>
      <c r="L2244" s="51"/>
      <c r="P2244" s="51"/>
      <c r="T2244" s="51"/>
      <c r="V2244" s="51"/>
      <c r="X2244" s="51"/>
    </row>
    <row r="2245" spans="6:24">
      <c r="F2245" s="51"/>
      <c r="H2245" s="51"/>
      <c r="L2245" s="51"/>
      <c r="P2245" s="51"/>
      <c r="T2245" s="51"/>
      <c r="V2245" s="51"/>
      <c r="X2245" s="51"/>
    </row>
    <row r="2246" spans="6:24">
      <c r="F2246" s="51"/>
      <c r="H2246" s="51"/>
      <c r="L2246" s="51"/>
      <c r="P2246" s="51"/>
      <c r="T2246" s="51"/>
      <c r="V2246" s="51"/>
      <c r="X2246" s="51"/>
    </row>
    <row r="2247" spans="6:24">
      <c r="F2247" s="51"/>
      <c r="H2247" s="51"/>
      <c r="L2247" s="51"/>
      <c r="P2247" s="51"/>
      <c r="T2247" s="51"/>
      <c r="V2247" s="51"/>
      <c r="X2247" s="51"/>
    </row>
    <row r="2248" spans="6:24">
      <c r="F2248" s="51"/>
      <c r="H2248" s="51"/>
      <c r="L2248" s="51"/>
      <c r="P2248" s="51"/>
      <c r="T2248" s="51"/>
      <c r="V2248" s="51"/>
      <c r="X2248" s="51"/>
    </row>
    <row r="2249" spans="6:24">
      <c r="F2249" s="51"/>
      <c r="H2249" s="51"/>
      <c r="L2249" s="51"/>
      <c r="P2249" s="51"/>
      <c r="T2249" s="51"/>
      <c r="V2249" s="51"/>
      <c r="X2249" s="51"/>
    </row>
    <row r="2250" spans="6:24">
      <c r="F2250" s="51"/>
      <c r="H2250" s="51"/>
      <c r="L2250" s="51"/>
      <c r="P2250" s="51"/>
      <c r="T2250" s="51"/>
      <c r="V2250" s="51"/>
      <c r="X2250" s="51"/>
    </row>
    <row r="2251" spans="6:24">
      <c r="F2251" s="51"/>
      <c r="H2251" s="51"/>
      <c r="L2251" s="51"/>
      <c r="P2251" s="51"/>
      <c r="T2251" s="51"/>
      <c r="V2251" s="51"/>
      <c r="X2251" s="51"/>
    </row>
    <row r="2252" spans="6:24">
      <c r="F2252" s="51"/>
      <c r="H2252" s="51"/>
      <c r="L2252" s="51"/>
      <c r="P2252" s="51"/>
      <c r="T2252" s="51"/>
      <c r="V2252" s="51"/>
      <c r="X2252" s="51"/>
    </row>
    <row r="2253" spans="6:24">
      <c r="F2253" s="51"/>
      <c r="H2253" s="51"/>
      <c r="L2253" s="51"/>
      <c r="P2253" s="51"/>
      <c r="T2253" s="51"/>
      <c r="V2253" s="51"/>
      <c r="X2253" s="51"/>
    </row>
    <row r="2254" spans="6:24">
      <c r="F2254" s="51"/>
      <c r="H2254" s="51"/>
      <c r="L2254" s="51"/>
      <c r="P2254" s="51"/>
      <c r="T2254" s="51"/>
      <c r="V2254" s="51"/>
      <c r="X2254" s="51"/>
    </row>
    <row r="2255" spans="6:24">
      <c r="F2255" s="51"/>
      <c r="H2255" s="51"/>
      <c r="L2255" s="51"/>
      <c r="P2255" s="51"/>
      <c r="T2255" s="51"/>
      <c r="V2255" s="51"/>
      <c r="X2255" s="51"/>
    </row>
    <row r="2256" spans="6:24">
      <c r="F2256" s="51"/>
      <c r="H2256" s="51"/>
      <c r="L2256" s="51"/>
      <c r="P2256" s="51"/>
      <c r="T2256" s="51"/>
      <c r="V2256" s="51"/>
      <c r="X2256" s="51"/>
    </row>
    <row r="2257" spans="6:24">
      <c r="F2257" s="51"/>
      <c r="H2257" s="51"/>
      <c r="L2257" s="51"/>
      <c r="P2257" s="51"/>
      <c r="T2257" s="51"/>
      <c r="V2257" s="51"/>
      <c r="X2257" s="51"/>
    </row>
    <row r="2258" spans="6:24">
      <c r="F2258" s="51"/>
      <c r="H2258" s="51"/>
      <c r="L2258" s="51"/>
      <c r="P2258" s="51"/>
      <c r="T2258" s="51"/>
      <c r="V2258" s="51"/>
      <c r="X2258" s="51"/>
    </row>
    <row r="2259" spans="6:24">
      <c r="F2259" s="51"/>
      <c r="H2259" s="51"/>
      <c r="L2259" s="51"/>
      <c r="P2259" s="51"/>
      <c r="T2259" s="51"/>
      <c r="V2259" s="51"/>
      <c r="X2259" s="51"/>
    </row>
    <row r="2260" spans="6:24">
      <c r="F2260" s="51"/>
      <c r="H2260" s="51"/>
      <c r="L2260" s="51"/>
      <c r="P2260" s="51"/>
      <c r="T2260" s="51"/>
      <c r="V2260" s="51"/>
      <c r="X2260" s="51"/>
    </row>
    <row r="2261" spans="6:24">
      <c r="F2261" s="51"/>
      <c r="H2261" s="51"/>
      <c r="L2261" s="51"/>
      <c r="P2261" s="51"/>
      <c r="T2261" s="51"/>
      <c r="V2261" s="51"/>
      <c r="X2261" s="51"/>
    </row>
    <row r="2262" spans="6:24">
      <c r="F2262" s="51"/>
      <c r="H2262" s="51"/>
      <c r="L2262" s="51"/>
      <c r="P2262" s="51"/>
      <c r="T2262" s="51"/>
      <c r="V2262" s="51"/>
      <c r="X2262" s="51"/>
    </row>
    <row r="2263" spans="6:24">
      <c r="F2263" s="51"/>
      <c r="H2263" s="51"/>
      <c r="L2263" s="51"/>
      <c r="P2263" s="51"/>
      <c r="T2263" s="51"/>
      <c r="V2263" s="51"/>
      <c r="X2263" s="51"/>
    </row>
    <row r="2264" spans="6:24">
      <c r="F2264" s="51"/>
      <c r="H2264" s="51"/>
      <c r="L2264" s="51"/>
      <c r="P2264" s="51"/>
      <c r="T2264" s="51"/>
      <c r="V2264" s="51"/>
      <c r="X2264" s="51"/>
    </row>
    <row r="2265" spans="6:24">
      <c r="F2265" s="51"/>
      <c r="H2265" s="51"/>
      <c r="L2265" s="51"/>
      <c r="P2265" s="51"/>
      <c r="T2265" s="51"/>
      <c r="V2265" s="51"/>
      <c r="X2265" s="51"/>
    </row>
    <row r="2266" spans="6:24">
      <c r="F2266" s="51"/>
      <c r="H2266" s="51"/>
      <c r="L2266" s="51"/>
      <c r="P2266" s="51"/>
      <c r="T2266" s="51"/>
      <c r="V2266" s="51"/>
      <c r="X2266" s="51"/>
    </row>
    <row r="2267" spans="6:24">
      <c r="F2267" s="51"/>
      <c r="H2267" s="51"/>
      <c r="L2267" s="51"/>
      <c r="P2267" s="51"/>
      <c r="T2267" s="51"/>
      <c r="V2267" s="51"/>
      <c r="X2267" s="51"/>
    </row>
    <row r="2268" spans="6:24">
      <c r="F2268" s="51"/>
      <c r="H2268" s="51"/>
      <c r="L2268" s="51"/>
      <c r="P2268" s="51"/>
      <c r="T2268" s="51"/>
      <c r="V2268" s="51"/>
      <c r="X2268" s="51"/>
    </row>
    <row r="2269" spans="6:24">
      <c r="F2269" s="51"/>
      <c r="H2269" s="51"/>
      <c r="L2269" s="51"/>
      <c r="P2269" s="51"/>
      <c r="T2269" s="51"/>
      <c r="V2269" s="51"/>
      <c r="X2269" s="51"/>
    </row>
    <row r="2270" spans="6:24">
      <c r="F2270" s="51"/>
      <c r="H2270" s="51"/>
      <c r="L2270" s="51"/>
      <c r="P2270" s="51"/>
      <c r="T2270" s="51"/>
      <c r="V2270" s="51"/>
      <c r="X2270" s="51"/>
    </row>
    <row r="2271" spans="6:24">
      <c r="F2271" s="51"/>
      <c r="H2271" s="51"/>
      <c r="L2271" s="51"/>
      <c r="P2271" s="51"/>
      <c r="T2271" s="51"/>
      <c r="V2271" s="51"/>
      <c r="X2271" s="51"/>
    </row>
    <row r="2272" spans="6:24">
      <c r="F2272" s="51"/>
      <c r="H2272" s="51"/>
      <c r="L2272" s="51"/>
      <c r="P2272" s="51"/>
      <c r="T2272" s="51"/>
      <c r="V2272" s="51"/>
      <c r="X2272" s="51"/>
    </row>
    <row r="2273" spans="6:24">
      <c r="F2273" s="51"/>
      <c r="H2273" s="51"/>
      <c r="L2273" s="51"/>
      <c r="P2273" s="51"/>
      <c r="T2273" s="51"/>
      <c r="V2273" s="51"/>
      <c r="X2273" s="51"/>
    </row>
    <row r="2274" spans="6:24">
      <c r="F2274" s="51"/>
      <c r="H2274" s="51"/>
      <c r="L2274" s="51"/>
      <c r="P2274" s="51"/>
      <c r="T2274" s="51"/>
      <c r="V2274" s="51"/>
      <c r="X2274" s="51"/>
    </row>
    <row r="2275" spans="6:24">
      <c r="F2275" s="51"/>
      <c r="H2275" s="51"/>
      <c r="L2275" s="51"/>
      <c r="P2275" s="51"/>
      <c r="T2275" s="51"/>
      <c r="V2275" s="51"/>
      <c r="X2275" s="51"/>
    </row>
    <row r="2276" spans="6:24">
      <c r="F2276" s="51"/>
      <c r="H2276" s="51"/>
      <c r="L2276" s="51"/>
      <c r="P2276" s="51"/>
      <c r="T2276" s="51"/>
      <c r="V2276" s="51"/>
      <c r="X2276" s="51"/>
    </row>
    <row r="2277" spans="6:24">
      <c r="F2277" s="51"/>
      <c r="H2277" s="51"/>
      <c r="L2277" s="51"/>
      <c r="P2277" s="51"/>
      <c r="T2277" s="51"/>
      <c r="V2277" s="51"/>
      <c r="X2277" s="51"/>
    </row>
    <row r="2278" spans="6:24">
      <c r="F2278" s="51"/>
      <c r="H2278" s="51"/>
      <c r="L2278" s="51"/>
      <c r="P2278" s="51"/>
      <c r="T2278" s="51"/>
      <c r="V2278" s="51"/>
      <c r="X2278" s="51"/>
    </row>
    <row r="2279" spans="6:24">
      <c r="F2279" s="51"/>
      <c r="H2279" s="51"/>
      <c r="L2279" s="51"/>
      <c r="P2279" s="51"/>
      <c r="T2279" s="51"/>
      <c r="V2279" s="51"/>
      <c r="X2279" s="51"/>
    </row>
    <row r="2280" spans="6:24">
      <c r="F2280" s="51"/>
      <c r="H2280" s="51"/>
      <c r="L2280" s="51"/>
      <c r="P2280" s="51"/>
      <c r="T2280" s="51"/>
      <c r="V2280" s="51"/>
      <c r="X2280" s="51"/>
    </row>
    <row r="2281" spans="6:24">
      <c r="F2281" s="51"/>
      <c r="H2281" s="51"/>
      <c r="L2281" s="51"/>
      <c r="P2281" s="51"/>
      <c r="T2281" s="51"/>
      <c r="V2281" s="51"/>
      <c r="X2281" s="51"/>
    </row>
    <row r="2282" spans="6:24">
      <c r="F2282" s="51"/>
      <c r="H2282" s="51"/>
      <c r="L2282" s="51"/>
      <c r="P2282" s="51"/>
      <c r="T2282" s="51"/>
      <c r="V2282" s="51"/>
      <c r="X2282" s="51"/>
    </row>
    <row r="2283" spans="6:24">
      <c r="F2283" s="51"/>
      <c r="H2283" s="51"/>
      <c r="L2283" s="51"/>
      <c r="P2283" s="51"/>
      <c r="T2283" s="51"/>
      <c r="V2283" s="51"/>
      <c r="X2283" s="51"/>
    </row>
    <row r="2284" spans="6:24">
      <c r="F2284" s="51"/>
      <c r="H2284" s="51"/>
      <c r="L2284" s="51"/>
      <c r="P2284" s="51"/>
      <c r="T2284" s="51"/>
      <c r="V2284" s="51"/>
      <c r="X2284" s="51"/>
    </row>
    <row r="2285" spans="6:24">
      <c r="F2285" s="51"/>
      <c r="H2285" s="51"/>
      <c r="L2285" s="51"/>
      <c r="P2285" s="51"/>
      <c r="T2285" s="51"/>
      <c r="V2285" s="51"/>
      <c r="X2285" s="51"/>
    </row>
    <row r="2286" spans="6:24">
      <c r="F2286" s="51"/>
      <c r="H2286" s="51"/>
      <c r="L2286" s="51"/>
      <c r="P2286" s="51"/>
      <c r="T2286" s="51"/>
      <c r="V2286" s="51"/>
      <c r="X2286" s="51"/>
    </row>
    <row r="2287" spans="6:24">
      <c r="F2287" s="51"/>
      <c r="H2287" s="51"/>
      <c r="L2287" s="51"/>
      <c r="P2287" s="51"/>
      <c r="T2287" s="51"/>
      <c r="V2287" s="51"/>
      <c r="X2287" s="51"/>
    </row>
    <row r="2288" spans="6:24">
      <c r="F2288" s="51"/>
      <c r="H2288" s="51"/>
      <c r="L2288" s="51"/>
      <c r="P2288" s="51"/>
      <c r="T2288" s="51"/>
      <c r="V2288" s="51"/>
      <c r="X2288" s="51"/>
    </row>
    <row r="2289" spans="6:24">
      <c r="F2289" s="51"/>
      <c r="H2289" s="51"/>
      <c r="L2289" s="51"/>
      <c r="P2289" s="51"/>
      <c r="T2289" s="51"/>
      <c r="V2289" s="51"/>
      <c r="X2289" s="51"/>
    </row>
    <row r="2290" spans="6:24">
      <c r="F2290" s="51"/>
      <c r="H2290" s="51"/>
      <c r="L2290" s="51"/>
      <c r="P2290" s="51"/>
      <c r="T2290" s="51"/>
      <c r="V2290" s="51"/>
      <c r="X2290" s="51"/>
    </row>
    <row r="2291" spans="6:24">
      <c r="F2291" s="51"/>
      <c r="H2291" s="51"/>
      <c r="L2291" s="51"/>
      <c r="P2291" s="51"/>
      <c r="T2291" s="51"/>
      <c r="V2291" s="51"/>
      <c r="X2291" s="51"/>
    </row>
    <row r="2292" spans="6:24">
      <c r="F2292" s="51"/>
      <c r="H2292" s="51"/>
      <c r="L2292" s="51"/>
      <c r="P2292" s="51"/>
      <c r="T2292" s="51"/>
      <c r="V2292" s="51"/>
      <c r="X2292" s="51"/>
    </row>
    <row r="2293" spans="6:24">
      <c r="F2293" s="51"/>
      <c r="H2293" s="51"/>
      <c r="L2293" s="51"/>
      <c r="P2293" s="51"/>
      <c r="T2293" s="51"/>
      <c r="V2293" s="51"/>
      <c r="X2293" s="51"/>
    </row>
    <row r="2294" spans="6:24">
      <c r="F2294" s="51"/>
      <c r="H2294" s="51"/>
      <c r="L2294" s="51"/>
      <c r="P2294" s="51"/>
      <c r="T2294" s="51"/>
      <c r="V2294" s="51"/>
      <c r="X2294" s="51"/>
    </row>
    <row r="2295" spans="6:24">
      <c r="F2295" s="51"/>
      <c r="H2295" s="51"/>
      <c r="L2295" s="51"/>
      <c r="P2295" s="51"/>
      <c r="T2295" s="51"/>
      <c r="V2295" s="51"/>
      <c r="X2295" s="51"/>
    </row>
    <row r="2296" spans="6:24">
      <c r="F2296" s="51"/>
      <c r="H2296" s="51"/>
      <c r="L2296" s="51"/>
      <c r="P2296" s="51"/>
      <c r="T2296" s="51"/>
      <c r="V2296" s="51"/>
      <c r="X2296" s="51"/>
    </row>
    <row r="2297" spans="6:24">
      <c r="F2297" s="51"/>
      <c r="H2297" s="51"/>
      <c r="L2297" s="51"/>
      <c r="P2297" s="51"/>
      <c r="T2297" s="51"/>
      <c r="V2297" s="51"/>
      <c r="X2297" s="51"/>
    </row>
    <row r="2298" spans="6:24">
      <c r="F2298" s="51"/>
      <c r="H2298" s="51"/>
      <c r="L2298" s="51"/>
      <c r="P2298" s="51"/>
      <c r="T2298" s="51"/>
      <c r="V2298" s="51"/>
      <c r="X2298" s="51"/>
    </row>
    <row r="2299" spans="6:24">
      <c r="F2299" s="51"/>
      <c r="H2299" s="51"/>
      <c r="L2299" s="51"/>
      <c r="P2299" s="51"/>
      <c r="T2299" s="51"/>
      <c r="V2299" s="51"/>
      <c r="X2299" s="51"/>
    </row>
    <row r="2300" spans="6:24">
      <c r="F2300" s="51"/>
      <c r="H2300" s="51"/>
      <c r="L2300" s="51"/>
      <c r="P2300" s="51"/>
      <c r="T2300" s="51"/>
      <c r="V2300" s="51"/>
      <c r="X2300" s="51"/>
    </row>
    <row r="2301" spans="6:24">
      <c r="F2301" s="51"/>
      <c r="H2301" s="51"/>
      <c r="L2301" s="51"/>
      <c r="P2301" s="51"/>
      <c r="T2301" s="51"/>
      <c r="V2301" s="51"/>
      <c r="X2301" s="51"/>
    </row>
    <row r="2302" spans="6:24">
      <c r="F2302" s="51"/>
      <c r="H2302" s="51"/>
      <c r="L2302" s="51"/>
      <c r="P2302" s="51"/>
      <c r="T2302" s="51"/>
      <c r="V2302" s="51"/>
      <c r="X2302" s="51"/>
    </row>
    <row r="2303" spans="6:24">
      <c r="F2303" s="51"/>
      <c r="H2303" s="51"/>
      <c r="L2303" s="51"/>
      <c r="P2303" s="51"/>
      <c r="T2303" s="51"/>
      <c r="V2303" s="51"/>
      <c r="X2303" s="51"/>
    </row>
    <row r="2304" spans="6:24">
      <c r="F2304" s="51"/>
      <c r="H2304" s="51"/>
      <c r="L2304" s="51"/>
      <c r="P2304" s="51"/>
      <c r="T2304" s="51"/>
      <c r="V2304" s="51"/>
      <c r="X2304" s="51"/>
    </row>
    <row r="2305" spans="6:24">
      <c r="F2305" s="51"/>
      <c r="H2305" s="51"/>
      <c r="L2305" s="51"/>
      <c r="P2305" s="51"/>
      <c r="T2305" s="51"/>
      <c r="V2305" s="51"/>
      <c r="X2305" s="51"/>
    </row>
    <row r="2306" spans="6:24">
      <c r="F2306" s="51"/>
      <c r="H2306" s="51"/>
      <c r="L2306" s="51"/>
      <c r="P2306" s="51"/>
      <c r="T2306" s="51"/>
      <c r="V2306" s="51"/>
      <c r="X2306" s="51"/>
    </row>
    <row r="2307" spans="6:24">
      <c r="F2307" s="51"/>
      <c r="H2307" s="51"/>
      <c r="L2307" s="51"/>
      <c r="P2307" s="51"/>
      <c r="T2307" s="51"/>
      <c r="V2307" s="51"/>
      <c r="X2307" s="51"/>
    </row>
    <row r="2308" spans="6:24">
      <c r="F2308" s="51"/>
      <c r="H2308" s="51"/>
      <c r="L2308" s="51"/>
      <c r="P2308" s="51"/>
      <c r="T2308" s="51"/>
      <c r="V2308" s="51"/>
      <c r="X2308" s="51"/>
    </row>
    <row r="2309" spans="6:24">
      <c r="F2309" s="51"/>
      <c r="H2309" s="51"/>
      <c r="L2309" s="51"/>
      <c r="P2309" s="51"/>
      <c r="T2309" s="51"/>
      <c r="V2309" s="51"/>
      <c r="X2309" s="51"/>
    </row>
    <row r="2310" spans="6:24">
      <c r="F2310" s="51"/>
      <c r="H2310" s="51"/>
      <c r="L2310" s="51"/>
      <c r="P2310" s="51"/>
      <c r="T2310" s="51"/>
      <c r="V2310" s="51"/>
      <c r="X2310" s="51"/>
    </row>
    <row r="2311" spans="6:24">
      <c r="F2311" s="51"/>
      <c r="H2311" s="51"/>
      <c r="L2311" s="51"/>
      <c r="P2311" s="51"/>
      <c r="T2311" s="51"/>
      <c r="V2311" s="51"/>
      <c r="X2311" s="51"/>
    </row>
    <row r="2312" spans="6:24">
      <c r="F2312" s="51"/>
      <c r="H2312" s="51"/>
      <c r="L2312" s="51"/>
      <c r="P2312" s="51"/>
      <c r="T2312" s="51"/>
      <c r="V2312" s="51"/>
      <c r="X2312" s="51"/>
    </row>
    <row r="2313" spans="6:24">
      <c r="F2313" s="51"/>
      <c r="H2313" s="51"/>
      <c r="L2313" s="51"/>
      <c r="P2313" s="51"/>
      <c r="T2313" s="51"/>
      <c r="V2313" s="51"/>
      <c r="X2313" s="51"/>
    </row>
    <row r="2314" spans="6:24">
      <c r="F2314" s="51"/>
      <c r="H2314" s="51"/>
      <c r="L2314" s="51"/>
      <c r="P2314" s="51"/>
      <c r="T2314" s="51"/>
      <c r="V2314" s="51"/>
      <c r="X2314" s="51"/>
    </row>
    <row r="2315" spans="6:24">
      <c r="F2315" s="51"/>
      <c r="H2315" s="51"/>
      <c r="L2315" s="51"/>
      <c r="P2315" s="51"/>
      <c r="T2315" s="51"/>
      <c r="V2315" s="51"/>
      <c r="X2315" s="51"/>
    </row>
    <row r="2316" spans="6:24">
      <c r="F2316" s="51"/>
      <c r="H2316" s="51"/>
      <c r="L2316" s="51"/>
      <c r="P2316" s="51"/>
      <c r="T2316" s="51"/>
      <c r="V2316" s="51"/>
      <c r="X2316" s="51"/>
    </row>
    <row r="2317" spans="6:24">
      <c r="F2317" s="51"/>
      <c r="H2317" s="51"/>
      <c r="L2317" s="51"/>
      <c r="P2317" s="51"/>
      <c r="T2317" s="51"/>
      <c r="V2317" s="51"/>
      <c r="X2317" s="51"/>
    </row>
    <row r="2318" spans="6:24">
      <c r="F2318" s="51"/>
      <c r="H2318" s="51"/>
      <c r="L2318" s="51"/>
      <c r="P2318" s="51"/>
      <c r="T2318" s="51"/>
      <c r="V2318" s="51"/>
      <c r="X2318" s="51"/>
    </row>
    <row r="2319" spans="6:24">
      <c r="F2319" s="51"/>
      <c r="H2319" s="51"/>
      <c r="L2319" s="51"/>
      <c r="P2319" s="51"/>
      <c r="T2319" s="51"/>
      <c r="V2319" s="51"/>
      <c r="X2319" s="51"/>
    </row>
    <row r="2320" spans="6:24">
      <c r="F2320" s="51"/>
      <c r="H2320" s="51"/>
      <c r="L2320" s="51"/>
      <c r="P2320" s="51"/>
      <c r="T2320" s="51"/>
      <c r="V2320" s="51"/>
      <c r="X2320" s="51"/>
    </row>
    <row r="2321" spans="6:24">
      <c r="F2321" s="51"/>
      <c r="H2321" s="51"/>
      <c r="L2321" s="51"/>
      <c r="P2321" s="51"/>
      <c r="T2321" s="51"/>
      <c r="V2321" s="51"/>
      <c r="X2321" s="51"/>
    </row>
    <row r="2322" spans="6:24">
      <c r="F2322" s="51"/>
      <c r="H2322" s="51"/>
      <c r="L2322" s="51"/>
      <c r="P2322" s="51"/>
      <c r="T2322" s="51"/>
      <c r="V2322" s="51"/>
      <c r="X2322" s="51"/>
    </row>
    <row r="2323" spans="6:24">
      <c r="F2323" s="51"/>
      <c r="H2323" s="51"/>
      <c r="L2323" s="51"/>
      <c r="P2323" s="51"/>
      <c r="T2323" s="51"/>
      <c r="V2323" s="51"/>
      <c r="X2323" s="51"/>
    </row>
    <row r="2324" spans="6:24">
      <c r="F2324" s="51"/>
      <c r="H2324" s="51"/>
      <c r="L2324" s="51"/>
      <c r="P2324" s="51"/>
      <c r="T2324" s="51"/>
      <c r="V2324" s="51"/>
      <c r="X2324" s="51"/>
    </row>
    <row r="2325" spans="6:24">
      <c r="F2325" s="51"/>
      <c r="H2325" s="51"/>
      <c r="L2325" s="51"/>
      <c r="P2325" s="51"/>
      <c r="T2325" s="51"/>
      <c r="V2325" s="51"/>
      <c r="X2325" s="51"/>
    </row>
    <row r="2326" spans="6:24">
      <c r="F2326" s="51"/>
      <c r="H2326" s="51"/>
      <c r="L2326" s="51"/>
      <c r="P2326" s="51"/>
      <c r="T2326" s="51"/>
      <c r="V2326" s="51"/>
      <c r="X2326" s="51"/>
    </row>
    <row r="2327" spans="6:24">
      <c r="F2327" s="51"/>
      <c r="H2327" s="51"/>
      <c r="L2327" s="51"/>
      <c r="P2327" s="51"/>
      <c r="T2327" s="51"/>
      <c r="V2327" s="51"/>
      <c r="X2327" s="51"/>
    </row>
    <row r="2328" spans="6:24">
      <c r="F2328" s="51"/>
      <c r="H2328" s="51"/>
      <c r="L2328" s="51"/>
      <c r="P2328" s="51"/>
      <c r="T2328" s="51"/>
      <c r="V2328" s="51"/>
      <c r="X2328" s="51"/>
    </row>
    <row r="2329" spans="6:24">
      <c r="F2329" s="51"/>
      <c r="H2329" s="51"/>
      <c r="L2329" s="51"/>
      <c r="P2329" s="51"/>
      <c r="T2329" s="51"/>
      <c r="V2329" s="51"/>
      <c r="X2329" s="51"/>
    </row>
    <row r="2330" spans="6:24">
      <c r="F2330" s="51"/>
      <c r="H2330" s="51"/>
      <c r="L2330" s="51"/>
      <c r="P2330" s="51"/>
      <c r="T2330" s="51"/>
      <c r="V2330" s="51"/>
      <c r="X2330" s="51"/>
    </row>
    <row r="2331" spans="6:24">
      <c r="F2331" s="51"/>
      <c r="H2331" s="51"/>
      <c r="L2331" s="51"/>
      <c r="P2331" s="51"/>
      <c r="T2331" s="51"/>
      <c r="V2331" s="51"/>
      <c r="X2331" s="51"/>
    </row>
    <row r="2332" spans="6:24">
      <c r="F2332" s="51"/>
      <c r="H2332" s="51"/>
      <c r="L2332" s="51"/>
      <c r="P2332" s="51"/>
      <c r="T2332" s="51"/>
      <c r="V2332" s="51"/>
      <c r="X2332" s="51"/>
    </row>
    <row r="2333" spans="6:24">
      <c r="F2333" s="51"/>
      <c r="H2333" s="51"/>
      <c r="L2333" s="51"/>
      <c r="P2333" s="51"/>
      <c r="T2333" s="51"/>
      <c r="V2333" s="51"/>
      <c r="X2333" s="51"/>
    </row>
    <row r="2334" spans="6:24">
      <c r="F2334" s="51"/>
      <c r="H2334" s="51"/>
      <c r="L2334" s="51"/>
      <c r="P2334" s="51"/>
      <c r="T2334" s="51"/>
      <c r="V2334" s="51"/>
      <c r="X2334" s="51"/>
    </row>
    <row r="2335" spans="6:24">
      <c r="F2335" s="51"/>
      <c r="H2335" s="51"/>
      <c r="L2335" s="51"/>
      <c r="P2335" s="51"/>
      <c r="T2335" s="51"/>
      <c r="V2335" s="51"/>
      <c r="X2335" s="51"/>
    </row>
    <row r="2336" spans="6:24">
      <c r="F2336" s="51"/>
      <c r="H2336" s="51"/>
      <c r="L2336" s="51"/>
      <c r="P2336" s="51"/>
      <c r="T2336" s="51"/>
      <c r="V2336" s="51"/>
      <c r="X2336" s="51"/>
    </row>
    <row r="2337" spans="6:24">
      <c r="F2337" s="51"/>
      <c r="H2337" s="51"/>
      <c r="L2337" s="51"/>
      <c r="P2337" s="51"/>
      <c r="T2337" s="51"/>
      <c r="V2337" s="51"/>
      <c r="X2337" s="51"/>
    </row>
    <row r="2338" spans="6:24">
      <c r="F2338" s="51"/>
      <c r="H2338" s="51"/>
      <c r="L2338" s="51"/>
      <c r="P2338" s="51"/>
      <c r="T2338" s="51"/>
      <c r="V2338" s="51"/>
      <c r="X2338" s="51"/>
    </row>
    <row r="2339" spans="6:24">
      <c r="F2339" s="51"/>
      <c r="H2339" s="51"/>
      <c r="L2339" s="51"/>
      <c r="P2339" s="51"/>
      <c r="T2339" s="51"/>
      <c r="V2339" s="51"/>
      <c r="X2339" s="51"/>
    </row>
    <row r="2340" spans="6:24">
      <c r="F2340" s="51"/>
      <c r="H2340" s="51"/>
      <c r="L2340" s="51"/>
      <c r="P2340" s="51"/>
      <c r="T2340" s="51"/>
      <c r="V2340" s="51"/>
      <c r="X2340" s="51"/>
    </row>
    <row r="2341" spans="6:24">
      <c r="F2341" s="51"/>
      <c r="H2341" s="51"/>
      <c r="L2341" s="51"/>
      <c r="P2341" s="51"/>
      <c r="T2341" s="51"/>
      <c r="V2341" s="51"/>
      <c r="X2341" s="51"/>
    </row>
    <row r="2342" spans="6:24">
      <c r="F2342" s="51"/>
      <c r="H2342" s="51"/>
      <c r="L2342" s="51"/>
      <c r="P2342" s="51"/>
      <c r="T2342" s="51"/>
      <c r="V2342" s="51"/>
      <c r="X2342" s="51"/>
    </row>
    <row r="2343" spans="6:24">
      <c r="F2343" s="51"/>
      <c r="H2343" s="51"/>
      <c r="L2343" s="51"/>
      <c r="P2343" s="51"/>
      <c r="T2343" s="51"/>
      <c r="V2343" s="51"/>
      <c r="X2343" s="51"/>
    </row>
    <row r="2344" spans="6:24">
      <c r="F2344" s="51"/>
      <c r="H2344" s="51"/>
      <c r="L2344" s="51"/>
      <c r="P2344" s="51"/>
      <c r="T2344" s="51"/>
      <c r="V2344" s="51"/>
      <c r="X2344" s="51"/>
    </row>
    <row r="2345" spans="6:24">
      <c r="F2345" s="51"/>
      <c r="H2345" s="51"/>
      <c r="L2345" s="51"/>
      <c r="P2345" s="51"/>
      <c r="T2345" s="51"/>
      <c r="V2345" s="51"/>
      <c r="X2345" s="51"/>
    </row>
    <row r="2346" spans="6:24">
      <c r="F2346" s="51"/>
      <c r="H2346" s="51"/>
      <c r="L2346" s="51"/>
      <c r="P2346" s="51"/>
      <c r="T2346" s="51"/>
      <c r="V2346" s="51"/>
      <c r="X2346" s="51"/>
    </row>
    <row r="2347" spans="6:24">
      <c r="F2347" s="51"/>
      <c r="H2347" s="51"/>
      <c r="L2347" s="51"/>
      <c r="P2347" s="51"/>
      <c r="T2347" s="51"/>
      <c r="V2347" s="51"/>
      <c r="X2347" s="51"/>
    </row>
    <row r="2348" spans="6:24">
      <c r="F2348" s="51"/>
      <c r="H2348" s="51"/>
      <c r="L2348" s="51"/>
      <c r="P2348" s="51"/>
      <c r="T2348" s="51"/>
      <c r="V2348" s="51"/>
      <c r="X2348" s="51"/>
    </row>
    <row r="2349" spans="6:24">
      <c r="F2349" s="51"/>
      <c r="H2349" s="51"/>
      <c r="L2349" s="51"/>
      <c r="P2349" s="51"/>
      <c r="T2349" s="51"/>
      <c r="V2349" s="51"/>
      <c r="X2349" s="51"/>
    </row>
    <row r="2350" spans="6:24">
      <c r="F2350" s="51"/>
      <c r="H2350" s="51"/>
      <c r="L2350" s="51"/>
      <c r="P2350" s="51"/>
      <c r="T2350" s="51"/>
      <c r="V2350" s="51"/>
      <c r="X2350" s="51"/>
    </row>
    <row r="2351" spans="6:24">
      <c r="F2351" s="51"/>
      <c r="H2351" s="51"/>
      <c r="L2351" s="51"/>
      <c r="P2351" s="51"/>
      <c r="T2351" s="51"/>
      <c r="V2351" s="51"/>
      <c r="X2351" s="51"/>
    </row>
    <row r="2352" spans="6:24">
      <c r="F2352" s="51"/>
      <c r="H2352" s="51"/>
      <c r="L2352" s="51"/>
      <c r="P2352" s="51"/>
      <c r="T2352" s="51"/>
      <c r="V2352" s="51"/>
      <c r="X2352" s="51"/>
    </row>
    <row r="2353" spans="6:24">
      <c r="F2353" s="51"/>
      <c r="H2353" s="51"/>
      <c r="L2353" s="51"/>
      <c r="P2353" s="51"/>
      <c r="T2353" s="51"/>
      <c r="V2353" s="51"/>
      <c r="X2353" s="51"/>
    </row>
    <row r="2354" spans="6:24">
      <c r="F2354" s="51"/>
      <c r="H2354" s="51"/>
      <c r="L2354" s="51"/>
      <c r="P2354" s="51"/>
      <c r="T2354" s="51"/>
      <c r="V2354" s="51"/>
      <c r="X2354" s="51"/>
    </row>
    <row r="2355" spans="6:24">
      <c r="F2355" s="51"/>
      <c r="H2355" s="51"/>
      <c r="L2355" s="51"/>
      <c r="P2355" s="51"/>
      <c r="T2355" s="51"/>
      <c r="V2355" s="51"/>
      <c r="X2355" s="51"/>
    </row>
    <row r="2356" spans="6:24">
      <c r="F2356" s="51"/>
      <c r="H2356" s="51"/>
      <c r="L2356" s="51"/>
      <c r="P2356" s="51"/>
      <c r="T2356" s="51"/>
      <c r="V2356" s="51"/>
      <c r="X2356" s="51"/>
    </row>
    <row r="2357" spans="6:24">
      <c r="F2357" s="51"/>
      <c r="H2357" s="51"/>
      <c r="L2357" s="51"/>
      <c r="P2357" s="51"/>
      <c r="T2357" s="51"/>
      <c r="V2357" s="51"/>
      <c r="X2357" s="51"/>
    </row>
    <row r="2358" spans="6:24">
      <c r="F2358" s="51"/>
      <c r="H2358" s="51"/>
      <c r="L2358" s="51"/>
      <c r="P2358" s="51"/>
      <c r="T2358" s="51"/>
      <c r="V2358" s="51"/>
      <c r="X2358" s="51"/>
    </row>
    <row r="2359" spans="6:24">
      <c r="F2359" s="51"/>
      <c r="H2359" s="51"/>
      <c r="L2359" s="51"/>
      <c r="P2359" s="51"/>
      <c r="T2359" s="51"/>
      <c r="V2359" s="51"/>
      <c r="X2359" s="51"/>
    </row>
    <row r="2360" spans="6:24">
      <c r="F2360" s="51"/>
      <c r="H2360" s="51"/>
      <c r="L2360" s="51"/>
      <c r="P2360" s="51"/>
      <c r="T2360" s="51"/>
      <c r="V2360" s="51"/>
      <c r="X2360" s="51"/>
    </row>
    <row r="2361" spans="6:24">
      <c r="F2361" s="51"/>
      <c r="H2361" s="51"/>
      <c r="L2361" s="51"/>
      <c r="P2361" s="51"/>
      <c r="T2361" s="51"/>
      <c r="V2361" s="51"/>
      <c r="X2361" s="51"/>
    </row>
    <row r="2362" spans="6:24">
      <c r="F2362" s="51"/>
      <c r="H2362" s="51"/>
      <c r="L2362" s="51"/>
      <c r="P2362" s="51"/>
      <c r="T2362" s="51"/>
      <c r="V2362" s="51"/>
      <c r="X2362" s="51"/>
    </row>
    <row r="2363" spans="6:24">
      <c r="F2363" s="51"/>
      <c r="H2363" s="51"/>
      <c r="L2363" s="51"/>
      <c r="P2363" s="51"/>
      <c r="T2363" s="51"/>
      <c r="V2363" s="51"/>
      <c r="X2363" s="51"/>
    </row>
    <row r="2364" spans="6:24">
      <c r="F2364" s="51"/>
      <c r="H2364" s="51"/>
      <c r="L2364" s="51"/>
      <c r="P2364" s="51"/>
      <c r="T2364" s="51"/>
      <c r="V2364" s="51"/>
      <c r="X2364" s="51"/>
    </row>
    <row r="2365" spans="6:24">
      <c r="F2365" s="51"/>
      <c r="H2365" s="51"/>
      <c r="L2365" s="51"/>
      <c r="P2365" s="51"/>
      <c r="T2365" s="51"/>
      <c r="V2365" s="51"/>
      <c r="X2365" s="51"/>
    </row>
    <row r="2366" spans="6:24">
      <c r="F2366" s="51"/>
      <c r="H2366" s="51"/>
      <c r="L2366" s="51"/>
      <c r="P2366" s="51"/>
      <c r="T2366" s="51"/>
      <c r="V2366" s="51"/>
      <c r="X2366" s="51"/>
    </row>
    <row r="2367" spans="6:24">
      <c r="F2367" s="51"/>
      <c r="H2367" s="51"/>
      <c r="L2367" s="51"/>
      <c r="P2367" s="51"/>
      <c r="T2367" s="51"/>
      <c r="V2367" s="51"/>
      <c r="X2367" s="51"/>
    </row>
    <row r="2368" spans="6:24">
      <c r="F2368" s="51"/>
      <c r="H2368" s="51"/>
      <c r="L2368" s="51"/>
      <c r="P2368" s="51"/>
      <c r="T2368" s="51"/>
      <c r="V2368" s="51"/>
      <c r="X2368" s="51"/>
    </row>
    <row r="2369" spans="6:24">
      <c r="F2369" s="51"/>
      <c r="H2369" s="51"/>
      <c r="L2369" s="51"/>
      <c r="P2369" s="51"/>
      <c r="T2369" s="51"/>
      <c r="V2369" s="51"/>
      <c r="X2369" s="51"/>
    </row>
    <row r="2370" spans="6:24">
      <c r="F2370" s="51"/>
      <c r="H2370" s="51"/>
      <c r="L2370" s="51"/>
      <c r="P2370" s="51"/>
      <c r="T2370" s="51"/>
      <c r="V2370" s="51"/>
      <c r="X2370" s="51"/>
    </row>
    <row r="2371" spans="6:24">
      <c r="F2371" s="51"/>
      <c r="H2371" s="51"/>
      <c r="L2371" s="51"/>
      <c r="P2371" s="51"/>
      <c r="T2371" s="51"/>
      <c r="V2371" s="51"/>
      <c r="X2371" s="51"/>
    </row>
    <row r="2372" spans="6:24">
      <c r="F2372" s="51"/>
      <c r="H2372" s="51"/>
      <c r="L2372" s="51"/>
      <c r="P2372" s="51"/>
      <c r="T2372" s="51"/>
      <c r="V2372" s="51"/>
      <c r="X2372" s="51"/>
    </row>
    <row r="2373" spans="6:24">
      <c r="F2373" s="51"/>
      <c r="H2373" s="51"/>
      <c r="L2373" s="51"/>
      <c r="P2373" s="51"/>
      <c r="T2373" s="51"/>
      <c r="V2373" s="51"/>
      <c r="X2373" s="51"/>
    </row>
    <row r="2374" spans="6:24">
      <c r="F2374" s="51"/>
      <c r="H2374" s="51"/>
      <c r="L2374" s="51"/>
      <c r="P2374" s="51"/>
      <c r="T2374" s="51"/>
      <c r="V2374" s="51"/>
      <c r="X2374" s="51"/>
    </row>
    <row r="2375" spans="6:24">
      <c r="F2375" s="51"/>
      <c r="H2375" s="51"/>
      <c r="L2375" s="51"/>
      <c r="P2375" s="51"/>
      <c r="T2375" s="51"/>
      <c r="V2375" s="51"/>
      <c r="X2375" s="51"/>
    </row>
    <row r="2376" spans="6:24">
      <c r="F2376" s="51"/>
      <c r="H2376" s="51"/>
      <c r="L2376" s="51"/>
      <c r="P2376" s="51"/>
      <c r="T2376" s="51"/>
      <c r="V2376" s="51"/>
      <c r="X2376" s="51"/>
    </row>
    <row r="2377" spans="6:24">
      <c r="F2377" s="51"/>
      <c r="H2377" s="51"/>
      <c r="L2377" s="51"/>
      <c r="P2377" s="51"/>
      <c r="T2377" s="51"/>
      <c r="V2377" s="51"/>
      <c r="X2377" s="51"/>
    </row>
    <row r="2378" spans="6:24">
      <c r="F2378" s="51"/>
      <c r="H2378" s="51"/>
      <c r="L2378" s="51"/>
      <c r="P2378" s="51"/>
      <c r="T2378" s="51"/>
      <c r="V2378" s="51"/>
      <c r="X2378" s="51"/>
    </row>
    <row r="2379" spans="6:24">
      <c r="F2379" s="51"/>
      <c r="H2379" s="51"/>
      <c r="L2379" s="51"/>
      <c r="P2379" s="51"/>
      <c r="T2379" s="51"/>
      <c r="V2379" s="51"/>
      <c r="X2379" s="51"/>
    </row>
    <row r="2380" spans="6:24">
      <c r="F2380" s="51"/>
      <c r="H2380" s="51"/>
      <c r="L2380" s="51"/>
      <c r="P2380" s="51"/>
      <c r="T2380" s="51"/>
      <c r="V2380" s="51"/>
      <c r="X2380" s="51"/>
    </row>
    <row r="2381" spans="6:24">
      <c r="F2381" s="51"/>
      <c r="H2381" s="51"/>
      <c r="L2381" s="51"/>
      <c r="P2381" s="51"/>
      <c r="T2381" s="51"/>
      <c r="V2381" s="51"/>
      <c r="X2381" s="51"/>
    </row>
    <row r="2382" spans="6:24">
      <c r="F2382" s="51"/>
      <c r="H2382" s="51"/>
      <c r="L2382" s="51"/>
      <c r="P2382" s="51"/>
      <c r="T2382" s="51"/>
      <c r="V2382" s="51"/>
      <c r="X2382" s="51"/>
    </row>
    <row r="2383" spans="6:24">
      <c r="F2383" s="51"/>
      <c r="H2383" s="51"/>
      <c r="L2383" s="51"/>
      <c r="P2383" s="51"/>
      <c r="T2383" s="51"/>
      <c r="V2383" s="51"/>
      <c r="X2383" s="51"/>
    </row>
    <row r="2384" spans="6:24">
      <c r="F2384" s="51"/>
      <c r="H2384" s="51"/>
      <c r="L2384" s="51"/>
      <c r="P2384" s="51"/>
      <c r="T2384" s="51"/>
      <c r="V2384" s="51"/>
      <c r="X2384" s="51"/>
    </row>
    <row r="2385" spans="6:24">
      <c r="F2385" s="51"/>
      <c r="H2385" s="51"/>
      <c r="L2385" s="51"/>
      <c r="P2385" s="51"/>
      <c r="T2385" s="51"/>
      <c r="V2385" s="51"/>
      <c r="X2385" s="51"/>
    </row>
    <row r="2386" spans="6:24">
      <c r="F2386" s="51"/>
      <c r="H2386" s="51"/>
      <c r="L2386" s="51"/>
      <c r="P2386" s="51"/>
      <c r="T2386" s="51"/>
      <c r="V2386" s="51"/>
      <c r="X2386" s="51"/>
    </row>
    <row r="2387" spans="6:24">
      <c r="F2387" s="51"/>
      <c r="H2387" s="51"/>
      <c r="L2387" s="51"/>
      <c r="P2387" s="51"/>
      <c r="T2387" s="51"/>
      <c r="V2387" s="51"/>
      <c r="X2387" s="51"/>
    </row>
    <row r="2388" spans="6:24">
      <c r="F2388" s="51"/>
      <c r="H2388" s="51"/>
      <c r="L2388" s="51"/>
      <c r="P2388" s="51"/>
      <c r="T2388" s="51"/>
      <c r="V2388" s="51"/>
      <c r="X2388" s="51"/>
    </row>
    <row r="2389" spans="6:24">
      <c r="F2389" s="51"/>
      <c r="H2389" s="51"/>
      <c r="L2389" s="51"/>
      <c r="P2389" s="51"/>
      <c r="T2389" s="51"/>
      <c r="V2389" s="51"/>
      <c r="X2389" s="51"/>
    </row>
    <row r="2390" spans="6:24">
      <c r="F2390" s="51"/>
      <c r="H2390" s="51"/>
      <c r="L2390" s="51"/>
      <c r="P2390" s="51"/>
      <c r="T2390" s="51"/>
      <c r="V2390" s="51"/>
      <c r="X2390" s="51"/>
    </row>
    <row r="2391" spans="6:24">
      <c r="F2391" s="51"/>
      <c r="H2391" s="51"/>
      <c r="L2391" s="51"/>
      <c r="P2391" s="51"/>
      <c r="T2391" s="51"/>
      <c r="V2391" s="51"/>
      <c r="X2391" s="51"/>
    </row>
    <row r="2392" spans="6:24">
      <c r="F2392" s="51"/>
      <c r="H2392" s="51"/>
      <c r="L2392" s="51"/>
      <c r="P2392" s="51"/>
      <c r="T2392" s="51"/>
      <c r="V2392" s="51"/>
      <c r="X2392" s="51"/>
    </row>
    <row r="2393" spans="6:24">
      <c r="F2393" s="51"/>
      <c r="H2393" s="51"/>
      <c r="L2393" s="51"/>
      <c r="P2393" s="51"/>
      <c r="T2393" s="51"/>
      <c r="V2393" s="51"/>
      <c r="X2393" s="51"/>
    </row>
    <row r="2394" spans="6:24">
      <c r="F2394" s="51"/>
      <c r="H2394" s="51"/>
      <c r="L2394" s="51"/>
      <c r="P2394" s="51"/>
      <c r="T2394" s="51"/>
      <c r="V2394" s="51"/>
      <c r="X2394" s="51"/>
    </row>
    <row r="2395" spans="6:24">
      <c r="F2395" s="51"/>
      <c r="H2395" s="51"/>
      <c r="L2395" s="51"/>
      <c r="P2395" s="51"/>
      <c r="T2395" s="51"/>
      <c r="V2395" s="51"/>
      <c r="X2395" s="51"/>
    </row>
    <row r="2396" spans="6:24">
      <c r="F2396" s="51"/>
      <c r="H2396" s="51"/>
      <c r="L2396" s="51"/>
      <c r="P2396" s="51"/>
      <c r="T2396" s="51"/>
      <c r="V2396" s="51"/>
      <c r="X2396" s="51"/>
    </row>
    <row r="2397" spans="6:24">
      <c r="F2397" s="51"/>
      <c r="H2397" s="51"/>
      <c r="L2397" s="51"/>
      <c r="P2397" s="51"/>
      <c r="T2397" s="51"/>
      <c r="V2397" s="51"/>
      <c r="X2397" s="51"/>
    </row>
    <row r="2398" spans="6:24">
      <c r="F2398" s="51"/>
      <c r="H2398" s="51"/>
      <c r="L2398" s="51"/>
      <c r="P2398" s="51"/>
      <c r="T2398" s="51"/>
      <c r="V2398" s="51"/>
      <c r="X2398" s="51"/>
    </row>
    <row r="2399" spans="6:24">
      <c r="F2399" s="51"/>
      <c r="H2399" s="51"/>
      <c r="L2399" s="51"/>
      <c r="P2399" s="51"/>
      <c r="T2399" s="51"/>
      <c r="V2399" s="51"/>
      <c r="X2399" s="51"/>
    </row>
    <row r="2400" spans="6:24">
      <c r="F2400" s="51"/>
      <c r="H2400" s="51"/>
      <c r="L2400" s="51"/>
      <c r="P2400" s="51"/>
      <c r="T2400" s="51"/>
      <c r="V2400" s="51"/>
      <c r="X2400" s="51"/>
    </row>
    <row r="2401" spans="6:24">
      <c r="F2401" s="51"/>
      <c r="H2401" s="51"/>
      <c r="L2401" s="51"/>
      <c r="P2401" s="51"/>
      <c r="T2401" s="51"/>
      <c r="V2401" s="51"/>
      <c r="X2401" s="51"/>
    </row>
    <row r="2402" spans="6:24">
      <c r="F2402" s="51"/>
      <c r="H2402" s="51"/>
      <c r="L2402" s="51"/>
      <c r="P2402" s="51"/>
      <c r="T2402" s="51"/>
      <c r="V2402" s="51"/>
      <c r="X2402" s="51"/>
    </row>
    <row r="2403" spans="6:24">
      <c r="F2403" s="51"/>
      <c r="H2403" s="51"/>
      <c r="L2403" s="51"/>
      <c r="P2403" s="51"/>
      <c r="T2403" s="51"/>
      <c r="V2403" s="51"/>
      <c r="X2403" s="51"/>
    </row>
    <row r="2404" spans="6:24">
      <c r="F2404" s="51"/>
      <c r="H2404" s="51"/>
      <c r="L2404" s="51"/>
      <c r="P2404" s="51"/>
      <c r="T2404" s="51"/>
      <c r="V2404" s="51"/>
      <c r="X2404" s="51"/>
    </row>
    <row r="2405" spans="6:24">
      <c r="F2405" s="51"/>
      <c r="H2405" s="51"/>
      <c r="L2405" s="51"/>
      <c r="P2405" s="51"/>
      <c r="T2405" s="51"/>
      <c r="V2405" s="51"/>
      <c r="X2405" s="51"/>
    </row>
    <row r="2406" spans="6:24">
      <c r="F2406" s="51"/>
      <c r="H2406" s="51"/>
      <c r="L2406" s="51"/>
      <c r="P2406" s="51"/>
      <c r="T2406" s="51"/>
      <c r="V2406" s="51"/>
      <c r="X2406" s="51"/>
    </row>
    <row r="2407" spans="6:24">
      <c r="F2407" s="51"/>
      <c r="H2407" s="51"/>
      <c r="L2407" s="51"/>
      <c r="P2407" s="51"/>
      <c r="T2407" s="51"/>
      <c r="V2407" s="51"/>
      <c r="X2407" s="51"/>
    </row>
    <row r="2408" spans="6:24">
      <c r="F2408" s="51"/>
      <c r="H2408" s="51"/>
      <c r="L2408" s="51"/>
      <c r="P2408" s="51"/>
      <c r="T2408" s="51"/>
      <c r="V2408" s="51"/>
      <c r="X2408" s="51"/>
    </row>
    <row r="2409" spans="6:24">
      <c r="F2409" s="51"/>
      <c r="H2409" s="51"/>
      <c r="L2409" s="51"/>
      <c r="P2409" s="51"/>
      <c r="T2409" s="51"/>
      <c r="V2409" s="51"/>
      <c r="X2409" s="51"/>
    </row>
    <row r="2410" spans="6:24">
      <c r="F2410" s="51"/>
      <c r="H2410" s="51"/>
      <c r="L2410" s="51"/>
      <c r="P2410" s="51"/>
      <c r="T2410" s="51"/>
      <c r="V2410" s="51"/>
      <c r="X2410" s="51"/>
    </row>
    <row r="2411" spans="6:24">
      <c r="F2411" s="51"/>
      <c r="H2411" s="51"/>
      <c r="L2411" s="51"/>
      <c r="P2411" s="51"/>
      <c r="T2411" s="51"/>
      <c r="V2411" s="51"/>
      <c r="X2411" s="51"/>
    </row>
    <row r="2412" spans="6:24">
      <c r="F2412" s="51"/>
      <c r="H2412" s="51"/>
      <c r="L2412" s="51"/>
      <c r="P2412" s="51"/>
      <c r="T2412" s="51"/>
      <c r="V2412" s="51"/>
      <c r="X2412" s="51"/>
    </row>
    <row r="2413" spans="6:24">
      <c r="F2413" s="51"/>
      <c r="H2413" s="51"/>
      <c r="L2413" s="51"/>
      <c r="P2413" s="51"/>
      <c r="T2413" s="51"/>
      <c r="V2413" s="51"/>
      <c r="X2413" s="51"/>
    </row>
    <row r="2414" spans="6:24">
      <c r="F2414" s="51"/>
      <c r="H2414" s="51"/>
      <c r="L2414" s="51"/>
      <c r="P2414" s="51"/>
      <c r="T2414" s="51"/>
      <c r="V2414" s="51"/>
      <c r="X2414" s="51"/>
    </row>
    <row r="2415" spans="6:24">
      <c r="F2415" s="51"/>
      <c r="H2415" s="51"/>
      <c r="L2415" s="51"/>
      <c r="P2415" s="51"/>
      <c r="T2415" s="51"/>
      <c r="V2415" s="51"/>
      <c r="X2415" s="51"/>
    </row>
    <row r="2416" spans="6:24">
      <c r="F2416" s="51"/>
      <c r="H2416" s="51"/>
      <c r="L2416" s="51"/>
      <c r="P2416" s="51"/>
      <c r="T2416" s="51"/>
      <c r="V2416" s="51"/>
      <c r="X2416" s="51"/>
    </row>
    <row r="2417" spans="6:24">
      <c r="F2417" s="51"/>
      <c r="H2417" s="51"/>
      <c r="L2417" s="51"/>
      <c r="P2417" s="51"/>
      <c r="T2417" s="51"/>
      <c r="V2417" s="51"/>
      <c r="X2417" s="51"/>
    </row>
    <row r="2418" spans="6:24">
      <c r="F2418" s="51"/>
      <c r="H2418" s="51"/>
      <c r="L2418" s="51"/>
      <c r="P2418" s="51"/>
      <c r="T2418" s="51"/>
      <c r="V2418" s="51"/>
      <c r="X2418" s="51"/>
    </row>
    <row r="2419" spans="6:24">
      <c r="F2419" s="51"/>
      <c r="H2419" s="51"/>
      <c r="L2419" s="51"/>
      <c r="P2419" s="51"/>
      <c r="T2419" s="51"/>
      <c r="V2419" s="51"/>
      <c r="X2419" s="51"/>
    </row>
    <row r="2420" spans="6:24">
      <c r="F2420" s="51"/>
      <c r="H2420" s="51"/>
      <c r="L2420" s="51"/>
      <c r="P2420" s="51"/>
      <c r="T2420" s="51"/>
      <c r="V2420" s="51"/>
      <c r="X2420" s="51"/>
    </row>
    <row r="2421" spans="6:24">
      <c r="F2421" s="51"/>
      <c r="H2421" s="51"/>
      <c r="L2421" s="51"/>
      <c r="P2421" s="51"/>
      <c r="T2421" s="51"/>
      <c r="V2421" s="51"/>
      <c r="X2421" s="51"/>
    </row>
    <row r="2422" spans="6:24">
      <c r="F2422" s="51"/>
      <c r="H2422" s="51"/>
      <c r="L2422" s="51"/>
      <c r="P2422" s="51"/>
      <c r="T2422" s="51"/>
      <c r="V2422" s="51"/>
      <c r="X2422" s="51"/>
    </row>
    <row r="2423" spans="6:24">
      <c r="F2423" s="51"/>
      <c r="H2423" s="51"/>
      <c r="L2423" s="51"/>
      <c r="P2423" s="51"/>
      <c r="T2423" s="51"/>
      <c r="V2423" s="51"/>
      <c r="X2423" s="51"/>
    </row>
    <row r="2424" spans="6:24">
      <c r="F2424" s="51"/>
      <c r="H2424" s="51"/>
      <c r="L2424" s="51"/>
      <c r="P2424" s="51"/>
      <c r="T2424" s="51"/>
      <c r="V2424" s="51"/>
      <c r="X2424" s="51"/>
    </row>
    <row r="2425" spans="6:24">
      <c r="F2425" s="51"/>
      <c r="H2425" s="51"/>
      <c r="L2425" s="51"/>
      <c r="P2425" s="51"/>
      <c r="T2425" s="51"/>
      <c r="V2425" s="51"/>
      <c r="X2425" s="51"/>
    </row>
    <row r="2426" spans="6:24">
      <c r="F2426" s="51"/>
      <c r="H2426" s="51"/>
      <c r="L2426" s="51"/>
      <c r="P2426" s="51"/>
      <c r="T2426" s="51"/>
      <c r="V2426" s="51"/>
      <c r="X2426" s="51"/>
    </row>
    <row r="2427" spans="6:24">
      <c r="F2427" s="51"/>
      <c r="H2427" s="51"/>
      <c r="L2427" s="51"/>
      <c r="P2427" s="51"/>
      <c r="T2427" s="51"/>
      <c r="V2427" s="51"/>
      <c r="X2427" s="51"/>
    </row>
    <row r="2428" spans="6:24">
      <c r="F2428" s="51"/>
      <c r="H2428" s="51"/>
      <c r="L2428" s="51"/>
      <c r="P2428" s="51"/>
      <c r="T2428" s="51"/>
      <c r="V2428" s="51"/>
      <c r="X2428" s="51"/>
    </row>
    <row r="2429" spans="6:24">
      <c r="F2429" s="51"/>
      <c r="H2429" s="51"/>
      <c r="L2429" s="51"/>
      <c r="P2429" s="51"/>
      <c r="T2429" s="51"/>
      <c r="V2429" s="51"/>
      <c r="X2429" s="51"/>
    </row>
    <row r="2430" spans="6:24">
      <c r="F2430" s="51"/>
      <c r="H2430" s="51"/>
      <c r="L2430" s="51"/>
      <c r="P2430" s="51"/>
      <c r="T2430" s="51"/>
      <c r="V2430" s="51"/>
      <c r="X2430" s="51"/>
    </row>
    <row r="2431" spans="6:24">
      <c r="F2431" s="51"/>
      <c r="H2431" s="51"/>
      <c r="L2431" s="51"/>
      <c r="P2431" s="51"/>
      <c r="T2431" s="51"/>
      <c r="V2431" s="51"/>
      <c r="X2431" s="51"/>
    </row>
    <row r="2432" spans="6:24">
      <c r="F2432" s="51"/>
      <c r="H2432" s="51"/>
      <c r="L2432" s="51"/>
      <c r="P2432" s="51"/>
      <c r="T2432" s="51"/>
      <c r="V2432" s="51"/>
      <c r="X2432" s="51"/>
    </row>
    <row r="2433" spans="6:24">
      <c r="F2433" s="51"/>
      <c r="H2433" s="51"/>
      <c r="L2433" s="51"/>
      <c r="P2433" s="51"/>
      <c r="T2433" s="51"/>
      <c r="V2433" s="51"/>
      <c r="X2433" s="51"/>
    </row>
    <row r="2434" spans="6:24">
      <c r="F2434" s="51"/>
      <c r="H2434" s="51"/>
      <c r="L2434" s="51"/>
      <c r="P2434" s="51"/>
      <c r="T2434" s="51"/>
      <c r="V2434" s="51"/>
      <c r="X2434" s="51"/>
    </row>
    <row r="2435" spans="6:24">
      <c r="F2435" s="51"/>
      <c r="H2435" s="51"/>
      <c r="L2435" s="51"/>
      <c r="P2435" s="51"/>
      <c r="T2435" s="51"/>
      <c r="V2435" s="51"/>
      <c r="X2435" s="51"/>
    </row>
    <row r="2436" spans="6:24">
      <c r="F2436" s="51"/>
      <c r="H2436" s="51"/>
      <c r="L2436" s="51"/>
      <c r="P2436" s="51"/>
      <c r="T2436" s="51"/>
      <c r="V2436" s="51"/>
      <c r="X2436" s="51"/>
    </row>
    <row r="2437" spans="6:24">
      <c r="F2437" s="51"/>
      <c r="H2437" s="51"/>
      <c r="L2437" s="51"/>
      <c r="P2437" s="51"/>
      <c r="T2437" s="51"/>
      <c r="V2437" s="51"/>
      <c r="X2437" s="51"/>
    </row>
    <row r="2438" spans="6:24">
      <c r="F2438" s="51"/>
      <c r="H2438" s="51"/>
      <c r="L2438" s="51"/>
      <c r="P2438" s="51"/>
      <c r="T2438" s="51"/>
      <c r="V2438" s="51"/>
      <c r="X2438" s="51"/>
    </row>
    <row r="2439" spans="6:24">
      <c r="F2439" s="51"/>
      <c r="H2439" s="51"/>
      <c r="L2439" s="51"/>
      <c r="P2439" s="51"/>
      <c r="T2439" s="51"/>
      <c r="V2439" s="51"/>
      <c r="X2439" s="51"/>
    </row>
    <row r="2440" spans="6:24">
      <c r="F2440" s="51"/>
      <c r="H2440" s="51"/>
      <c r="L2440" s="51"/>
      <c r="P2440" s="51"/>
      <c r="T2440" s="51"/>
      <c r="V2440" s="51"/>
      <c r="X2440" s="51"/>
    </row>
    <row r="2441" spans="6:24">
      <c r="F2441" s="51"/>
      <c r="H2441" s="51"/>
      <c r="L2441" s="51"/>
      <c r="P2441" s="51"/>
      <c r="T2441" s="51"/>
      <c r="V2441" s="51"/>
      <c r="X2441" s="51"/>
    </row>
    <row r="2442" spans="6:24">
      <c r="F2442" s="51"/>
      <c r="H2442" s="51"/>
      <c r="L2442" s="51"/>
      <c r="P2442" s="51"/>
      <c r="T2442" s="51"/>
      <c r="V2442" s="51"/>
      <c r="X2442" s="51"/>
    </row>
    <row r="2443" spans="6:24">
      <c r="F2443" s="51"/>
      <c r="H2443" s="51"/>
      <c r="L2443" s="51"/>
      <c r="P2443" s="51"/>
      <c r="T2443" s="51"/>
      <c r="V2443" s="51"/>
      <c r="X2443" s="51"/>
    </row>
    <row r="2444" spans="6:24">
      <c r="F2444" s="51"/>
      <c r="H2444" s="51"/>
      <c r="L2444" s="51"/>
      <c r="P2444" s="51"/>
      <c r="T2444" s="51"/>
      <c r="V2444" s="51"/>
      <c r="X2444" s="51"/>
    </row>
    <row r="2445" spans="6:24">
      <c r="F2445" s="51"/>
      <c r="H2445" s="51"/>
      <c r="L2445" s="51"/>
      <c r="P2445" s="51"/>
      <c r="T2445" s="51"/>
      <c r="V2445" s="51"/>
      <c r="X2445" s="51"/>
    </row>
    <row r="2446" spans="6:24">
      <c r="F2446" s="51"/>
      <c r="H2446" s="51"/>
      <c r="L2446" s="51"/>
      <c r="P2446" s="51"/>
      <c r="T2446" s="51"/>
      <c r="V2446" s="51"/>
      <c r="X2446" s="51"/>
    </row>
    <row r="2447" spans="6:24">
      <c r="F2447" s="51"/>
      <c r="H2447" s="51"/>
      <c r="L2447" s="51"/>
      <c r="P2447" s="51"/>
      <c r="T2447" s="51"/>
      <c r="V2447" s="51"/>
      <c r="X2447" s="51"/>
    </row>
    <row r="2448" spans="6:24">
      <c r="F2448" s="51"/>
      <c r="H2448" s="51"/>
      <c r="L2448" s="51"/>
      <c r="P2448" s="51"/>
      <c r="T2448" s="51"/>
      <c r="V2448" s="51"/>
      <c r="X2448" s="51"/>
    </row>
    <row r="2449" spans="6:24">
      <c r="F2449" s="51"/>
      <c r="H2449" s="51"/>
      <c r="L2449" s="51"/>
      <c r="P2449" s="51"/>
      <c r="T2449" s="51"/>
      <c r="V2449" s="51"/>
      <c r="X2449" s="51"/>
    </row>
    <row r="2450" spans="6:24">
      <c r="F2450" s="51"/>
      <c r="H2450" s="51"/>
      <c r="L2450" s="51"/>
      <c r="P2450" s="51"/>
      <c r="T2450" s="51"/>
      <c r="V2450" s="51"/>
      <c r="X2450" s="51"/>
    </row>
    <row r="2451" spans="6:24">
      <c r="F2451" s="51"/>
      <c r="H2451" s="51"/>
      <c r="L2451" s="51"/>
      <c r="P2451" s="51"/>
      <c r="T2451" s="51"/>
      <c r="V2451" s="51"/>
      <c r="X2451" s="51"/>
    </row>
    <row r="2452" spans="6:24">
      <c r="F2452" s="51"/>
      <c r="H2452" s="51"/>
      <c r="L2452" s="51"/>
      <c r="P2452" s="51"/>
      <c r="T2452" s="51"/>
      <c r="V2452" s="51"/>
      <c r="X2452" s="51"/>
    </row>
    <row r="2453" spans="6:24">
      <c r="F2453" s="51"/>
      <c r="H2453" s="51"/>
      <c r="L2453" s="51"/>
      <c r="P2453" s="51"/>
      <c r="T2453" s="51"/>
      <c r="V2453" s="51"/>
      <c r="X2453" s="51"/>
    </row>
    <row r="2454" spans="6:24">
      <c r="F2454" s="51"/>
      <c r="H2454" s="51"/>
      <c r="L2454" s="51"/>
      <c r="P2454" s="51"/>
      <c r="T2454" s="51"/>
      <c r="V2454" s="51"/>
      <c r="X2454" s="51"/>
    </row>
    <row r="2455" spans="6:24">
      <c r="F2455" s="51"/>
      <c r="H2455" s="51"/>
      <c r="L2455" s="51"/>
      <c r="P2455" s="51"/>
      <c r="T2455" s="51"/>
      <c r="V2455" s="51"/>
      <c r="X2455" s="51"/>
    </row>
    <row r="2456" spans="6:24">
      <c r="F2456" s="51"/>
      <c r="H2456" s="51"/>
      <c r="L2456" s="51"/>
      <c r="P2456" s="51"/>
      <c r="T2456" s="51"/>
      <c r="V2456" s="51"/>
      <c r="X2456" s="51"/>
    </row>
    <row r="2457" spans="6:24">
      <c r="F2457" s="51"/>
      <c r="H2457" s="51"/>
      <c r="L2457" s="51"/>
      <c r="P2457" s="51"/>
      <c r="T2457" s="51"/>
      <c r="V2457" s="51"/>
      <c r="X2457" s="51"/>
    </row>
    <row r="2458" spans="6:24">
      <c r="F2458" s="51"/>
      <c r="H2458" s="51"/>
      <c r="L2458" s="51"/>
      <c r="P2458" s="51"/>
      <c r="T2458" s="51"/>
      <c r="V2458" s="51"/>
      <c r="X2458" s="51"/>
    </row>
    <row r="2459" spans="6:24">
      <c r="F2459" s="51"/>
      <c r="H2459" s="51"/>
      <c r="L2459" s="51"/>
      <c r="P2459" s="51"/>
      <c r="T2459" s="51"/>
      <c r="V2459" s="51"/>
      <c r="X2459" s="51"/>
    </row>
    <row r="2460" spans="6:24">
      <c r="F2460" s="51"/>
      <c r="H2460" s="51"/>
      <c r="L2460" s="51"/>
      <c r="P2460" s="51"/>
      <c r="T2460" s="51"/>
      <c r="V2460" s="51"/>
      <c r="X2460" s="51"/>
    </row>
    <row r="2461" spans="6:24">
      <c r="F2461" s="51"/>
      <c r="H2461" s="51"/>
      <c r="L2461" s="51"/>
      <c r="P2461" s="51"/>
      <c r="T2461" s="51"/>
      <c r="V2461" s="51"/>
      <c r="X2461" s="51"/>
    </row>
    <row r="2462" spans="6:24">
      <c r="F2462" s="51"/>
      <c r="H2462" s="51"/>
      <c r="L2462" s="51"/>
      <c r="P2462" s="51"/>
      <c r="T2462" s="51"/>
      <c r="V2462" s="51"/>
      <c r="X2462" s="51"/>
    </row>
    <row r="2463" spans="6:24">
      <c r="F2463" s="51"/>
      <c r="H2463" s="51"/>
      <c r="L2463" s="51"/>
      <c r="P2463" s="51"/>
      <c r="T2463" s="51"/>
      <c r="V2463" s="51"/>
      <c r="X2463" s="51"/>
    </row>
    <row r="2464" spans="6:24">
      <c r="F2464" s="51"/>
      <c r="H2464" s="51"/>
      <c r="L2464" s="51"/>
      <c r="P2464" s="51"/>
      <c r="T2464" s="51"/>
      <c r="V2464" s="51"/>
      <c r="X2464" s="51"/>
    </row>
    <row r="2465" spans="6:24">
      <c r="F2465" s="51"/>
      <c r="H2465" s="51"/>
      <c r="L2465" s="51"/>
      <c r="P2465" s="51"/>
      <c r="T2465" s="51"/>
      <c r="V2465" s="51"/>
      <c r="X2465" s="51"/>
    </row>
    <row r="2466" spans="6:24">
      <c r="F2466" s="51"/>
      <c r="H2466" s="51"/>
      <c r="L2466" s="51"/>
      <c r="P2466" s="51"/>
      <c r="T2466" s="51"/>
      <c r="V2466" s="51"/>
      <c r="X2466" s="51"/>
    </row>
    <row r="2467" spans="6:24">
      <c r="F2467" s="51"/>
      <c r="H2467" s="51"/>
      <c r="L2467" s="51"/>
      <c r="P2467" s="51"/>
      <c r="T2467" s="51"/>
      <c r="V2467" s="51"/>
      <c r="X2467" s="51"/>
    </row>
    <row r="2468" spans="6:24">
      <c r="F2468" s="51"/>
      <c r="H2468" s="51"/>
      <c r="L2468" s="51"/>
      <c r="P2468" s="51"/>
      <c r="T2468" s="51"/>
      <c r="V2468" s="51"/>
      <c r="X2468" s="51"/>
    </row>
    <row r="2469" spans="6:24">
      <c r="F2469" s="51"/>
      <c r="H2469" s="51"/>
      <c r="L2469" s="51"/>
      <c r="P2469" s="51"/>
      <c r="T2469" s="51"/>
      <c r="V2469" s="51"/>
      <c r="X2469" s="51"/>
    </row>
    <row r="2470" spans="6:24">
      <c r="F2470" s="51"/>
      <c r="H2470" s="51"/>
      <c r="L2470" s="51"/>
      <c r="P2470" s="51"/>
      <c r="T2470" s="51"/>
      <c r="V2470" s="51"/>
      <c r="X2470" s="51"/>
    </row>
    <row r="2471" spans="6:24">
      <c r="F2471" s="51"/>
      <c r="H2471" s="51"/>
      <c r="L2471" s="51"/>
      <c r="P2471" s="51"/>
      <c r="T2471" s="51"/>
      <c r="V2471" s="51"/>
      <c r="X2471" s="51"/>
    </row>
    <row r="2472" spans="6:24">
      <c r="F2472" s="51"/>
      <c r="H2472" s="51"/>
      <c r="L2472" s="51"/>
      <c r="P2472" s="51"/>
      <c r="T2472" s="51"/>
      <c r="V2472" s="51"/>
      <c r="X2472" s="51"/>
    </row>
    <row r="2473" spans="6:24">
      <c r="F2473" s="51"/>
      <c r="H2473" s="51"/>
      <c r="L2473" s="51"/>
      <c r="P2473" s="51"/>
      <c r="T2473" s="51"/>
      <c r="V2473" s="51"/>
      <c r="X2473" s="51"/>
    </row>
    <row r="2474" spans="6:24">
      <c r="F2474" s="51"/>
      <c r="H2474" s="51"/>
      <c r="L2474" s="51"/>
      <c r="P2474" s="51"/>
      <c r="T2474" s="51"/>
      <c r="V2474" s="51"/>
      <c r="X2474" s="51"/>
    </row>
    <row r="2475" spans="6:24">
      <c r="F2475" s="51"/>
      <c r="H2475" s="51"/>
      <c r="L2475" s="51"/>
      <c r="P2475" s="51"/>
      <c r="T2475" s="51"/>
      <c r="V2475" s="51"/>
      <c r="X2475" s="51"/>
    </row>
    <row r="2476" spans="6:24">
      <c r="F2476" s="51"/>
      <c r="H2476" s="51"/>
      <c r="L2476" s="51"/>
      <c r="P2476" s="51"/>
      <c r="T2476" s="51"/>
      <c r="V2476" s="51"/>
      <c r="X2476" s="51"/>
    </row>
    <row r="2477" spans="6:24">
      <c r="F2477" s="51"/>
      <c r="H2477" s="51"/>
      <c r="L2477" s="51"/>
      <c r="P2477" s="51"/>
      <c r="T2477" s="51"/>
      <c r="V2477" s="51"/>
      <c r="X2477" s="51"/>
    </row>
    <row r="2478" spans="6:24">
      <c r="F2478" s="51"/>
      <c r="H2478" s="51"/>
      <c r="L2478" s="51"/>
      <c r="P2478" s="51"/>
      <c r="T2478" s="51"/>
      <c r="V2478" s="51"/>
      <c r="X2478" s="51"/>
    </row>
    <row r="2479" spans="6:24">
      <c r="F2479" s="51"/>
      <c r="H2479" s="51"/>
      <c r="L2479" s="51"/>
      <c r="P2479" s="51"/>
      <c r="T2479" s="51"/>
      <c r="V2479" s="51"/>
      <c r="X2479" s="51"/>
    </row>
    <row r="2480" spans="6:24">
      <c r="F2480" s="51"/>
      <c r="H2480" s="51"/>
      <c r="L2480" s="51"/>
      <c r="P2480" s="51"/>
      <c r="T2480" s="51"/>
      <c r="V2480" s="51"/>
      <c r="X2480" s="51"/>
    </row>
    <row r="2481" spans="6:24">
      <c r="F2481" s="51"/>
      <c r="H2481" s="51"/>
      <c r="L2481" s="51"/>
      <c r="P2481" s="51"/>
      <c r="T2481" s="51"/>
      <c r="V2481" s="51"/>
      <c r="X2481" s="51"/>
    </row>
    <row r="2482" spans="6:24">
      <c r="F2482" s="51"/>
      <c r="H2482" s="51"/>
      <c r="L2482" s="51"/>
      <c r="P2482" s="51"/>
      <c r="T2482" s="51"/>
      <c r="V2482" s="51"/>
      <c r="X2482" s="51"/>
    </row>
    <row r="2483" spans="6:24">
      <c r="F2483" s="51"/>
      <c r="H2483" s="51"/>
      <c r="L2483" s="51"/>
      <c r="P2483" s="51"/>
      <c r="T2483" s="51"/>
      <c r="V2483" s="51"/>
      <c r="X2483" s="51"/>
    </row>
    <row r="2484" spans="6:24">
      <c r="F2484" s="51"/>
      <c r="H2484" s="51"/>
      <c r="L2484" s="51"/>
      <c r="P2484" s="51"/>
      <c r="T2484" s="51"/>
      <c r="V2484" s="51"/>
      <c r="X2484" s="51"/>
    </row>
    <row r="2485" spans="6:24">
      <c r="F2485" s="51"/>
      <c r="H2485" s="51"/>
      <c r="L2485" s="51"/>
      <c r="P2485" s="51"/>
      <c r="T2485" s="51"/>
      <c r="V2485" s="51"/>
      <c r="X2485" s="51"/>
    </row>
    <row r="2486" spans="6:24">
      <c r="F2486" s="51"/>
      <c r="H2486" s="51"/>
      <c r="L2486" s="51"/>
      <c r="P2486" s="51"/>
      <c r="T2486" s="51"/>
      <c r="V2486" s="51"/>
      <c r="X2486" s="51"/>
    </row>
    <row r="2487" spans="6:24">
      <c r="F2487" s="51"/>
      <c r="H2487" s="51"/>
      <c r="L2487" s="51"/>
      <c r="P2487" s="51"/>
      <c r="T2487" s="51"/>
      <c r="V2487" s="51"/>
      <c r="X2487" s="51"/>
    </row>
    <row r="2488" spans="6:24">
      <c r="F2488" s="51"/>
      <c r="H2488" s="51"/>
      <c r="L2488" s="51"/>
      <c r="P2488" s="51"/>
      <c r="T2488" s="51"/>
      <c r="V2488" s="51"/>
      <c r="X2488" s="51"/>
    </row>
    <row r="2489" spans="6:24">
      <c r="F2489" s="51"/>
      <c r="H2489" s="51"/>
      <c r="L2489" s="51"/>
      <c r="P2489" s="51"/>
      <c r="T2489" s="51"/>
      <c r="V2489" s="51"/>
      <c r="X2489" s="51"/>
    </row>
    <row r="2490" spans="6:24">
      <c r="F2490" s="51"/>
      <c r="H2490" s="51"/>
      <c r="L2490" s="51"/>
      <c r="P2490" s="51"/>
      <c r="T2490" s="51"/>
      <c r="V2490" s="51"/>
      <c r="X2490" s="51"/>
    </row>
    <row r="2491" spans="6:24">
      <c r="F2491" s="51"/>
      <c r="H2491" s="51"/>
      <c r="L2491" s="51"/>
      <c r="P2491" s="51"/>
      <c r="T2491" s="51"/>
      <c r="V2491" s="51"/>
      <c r="X2491" s="51"/>
    </row>
    <row r="2492" spans="6:24">
      <c r="F2492" s="51"/>
      <c r="H2492" s="51"/>
      <c r="L2492" s="51"/>
      <c r="P2492" s="51"/>
      <c r="T2492" s="51"/>
      <c r="V2492" s="51"/>
      <c r="X2492" s="51"/>
    </row>
    <row r="2493" spans="6:24">
      <c r="F2493" s="51"/>
      <c r="H2493" s="51"/>
      <c r="L2493" s="51"/>
      <c r="P2493" s="51"/>
      <c r="T2493" s="51"/>
      <c r="V2493" s="51"/>
      <c r="X2493" s="51"/>
    </row>
    <row r="2494" spans="6:24">
      <c r="F2494" s="51"/>
      <c r="H2494" s="51"/>
      <c r="L2494" s="51"/>
      <c r="P2494" s="51"/>
      <c r="T2494" s="51"/>
      <c r="V2494" s="51"/>
      <c r="X2494" s="51"/>
    </row>
    <row r="2495" spans="6:24">
      <c r="F2495" s="51"/>
      <c r="H2495" s="51"/>
      <c r="L2495" s="51"/>
      <c r="P2495" s="51"/>
      <c r="T2495" s="51"/>
      <c r="V2495" s="51"/>
      <c r="X2495" s="51"/>
    </row>
    <row r="2496" spans="6:24">
      <c r="F2496" s="51"/>
      <c r="H2496" s="51"/>
      <c r="L2496" s="51"/>
      <c r="P2496" s="51"/>
      <c r="T2496" s="51"/>
      <c r="V2496" s="51"/>
      <c r="X2496" s="51"/>
    </row>
    <row r="2497" spans="6:24">
      <c r="F2497" s="51"/>
      <c r="H2497" s="51"/>
      <c r="L2497" s="51"/>
      <c r="P2497" s="51"/>
      <c r="T2497" s="51"/>
      <c r="V2497" s="51"/>
      <c r="X2497" s="51"/>
    </row>
    <row r="2498" spans="6:24">
      <c r="F2498" s="51"/>
      <c r="H2498" s="51"/>
      <c r="L2498" s="51"/>
      <c r="P2498" s="51"/>
      <c r="T2498" s="51"/>
      <c r="V2498" s="51"/>
      <c r="X2498" s="51"/>
    </row>
    <row r="2499" spans="6:24">
      <c r="F2499" s="51"/>
      <c r="H2499" s="51"/>
      <c r="L2499" s="51"/>
      <c r="P2499" s="51"/>
      <c r="T2499" s="51"/>
      <c r="V2499" s="51"/>
      <c r="X2499" s="51"/>
    </row>
    <row r="2500" spans="6:24">
      <c r="F2500" s="51"/>
      <c r="H2500" s="51"/>
      <c r="L2500" s="51"/>
      <c r="P2500" s="51"/>
      <c r="T2500" s="51"/>
      <c r="V2500" s="51"/>
      <c r="X2500" s="51"/>
    </row>
    <row r="2501" spans="6:24">
      <c r="F2501" s="51"/>
      <c r="H2501" s="51"/>
      <c r="L2501" s="51"/>
      <c r="P2501" s="51"/>
      <c r="T2501" s="51"/>
      <c r="V2501" s="51"/>
      <c r="X2501" s="51"/>
    </row>
    <row r="2502" spans="6:24">
      <c r="F2502" s="51"/>
      <c r="H2502" s="51"/>
      <c r="L2502" s="51"/>
      <c r="P2502" s="51"/>
      <c r="T2502" s="51"/>
      <c r="V2502" s="51"/>
      <c r="X2502" s="51"/>
    </row>
    <row r="2503" spans="6:24">
      <c r="F2503" s="51"/>
      <c r="H2503" s="51"/>
      <c r="L2503" s="51"/>
      <c r="P2503" s="51"/>
      <c r="T2503" s="51"/>
      <c r="V2503" s="51"/>
      <c r="X2503" s="51"/>
    </row>
    <row r="2504" spans="6:24">
      <c r="F2504" s="51"/>
      <c r="H2504" s="51"/>
      <c r="L2504" s="51"/>
      <c r="P2504" s="51"/>
      <c r="T2504" s="51"/>
      <c r="V2504" s="51"/>
      <c r="X2504" s="51"/>
    </row>
    <row r="2505" spans="6:24">
      <c r="F2505" s="51"/>
      <c r="H2505" s="51"/>
      <c r="L2505" s="51"/>
      <c r="P2505" s="51"/>
      <c r="T2505" s="51"/>
      <c r="V2505" s="51"/>
      <c r="X2505" s="51"/>
    </row>
    <row r="2506" spans="6:24">
      <c r="F2506" s="51"/>
      <c r="H2506" s="51"/>
      <c r="L2506" s="51"/>
      <c r="P2506" s="51"/>
      <c r="T2506" s="51"/>
      <c r="V2506" s="51"/>
      <c r="X2506" s="51"/>
    </row>
    <row r="2507" spans="6:24">
      <c r="F2507" s="51"/>
      <c r="H2507" s="51"/>
      <c r="L2507" s="51"/>
      <c r="P2507" s="51"/>
      <c r="T2507" s="51"/>
      <c r="V2507" s="51"/>
      <c r="X2507" s="51"/>
    </row>
    <row r="2508" spans="6:24">
      <c r="F2508" s="51"/>
      <c r="H2508" s="51"/>
      <c r="L2508" s="51"/>
      <c r="P2508" s="51"/>
      <c r="T2508" s="51"/>
      <c r="V2508" s="51"/>
      <c r="X2508" s="51"/>
    </row>
    <row r="2509" spans="6:24">
      <c r="F2509" s="51"/>
      <c r="H2509" s="51"/>
      <c r="L2509" s="51"/>
      <c r="P2509" s="51"/>
      <c r="T2509" s="51"/>
      <c r="V2509" s="51"/>
      <c r="X2509" s="51"/>
    </row>
    <row r="2510" spans="6:24">
      <c r="F2510" s="51"/>
      <c r="H2510" s="51"/>
      <c r="L2510" s="51"/>
      <c r="P2510" s="51"/>
      <c r="T2510" s="51"/>
      <c r="V2510" s="51"/>
      <c r="X2510" s="51"/>
    </row>
    <row r="2511" spans="6:24">
      <c r="F2511" s="51"/>
      <c r="H2511" s="51"/>
      <c r="L2511" s="51"/>
      <c r="P2511" s="51"/>
      <c r="T2511" s="51"/>
      <c r="V2511" s="51"/>
      <c r="X2511" s="51"/>
    </row>
    <row r="2512" spans="6:24">
      <c r="F2512" s="51"/>
      <c r="H2512" s="51"/>
      <c r="L2512" s="51"/>
      <c r="P2512" s="51"/>
      <c r="T2512" s="51"/>
      <c r="V2512" s="51"/>
      <c r="X2512" s="51"/>
    </row>
    <row r="2513" spans="6:24">
      <c r="F2513" s="51"/>
      <c r="H2513" s="51"/>
      <c r="L2513" s="51"/>
      <c r="P2513" s="51"/>
      <c r="T2513" s="51"/>
      <c r="V2513" s="51"/>
      <c r="X2513" s="51"/>
    </row>
    <row r="2514" spans="6:24">
      <c r="F2514" s="51"/>
      <c r="H2514" s="51"/>
      <c r="L2514" s="51"/>
      <c r="P2514" s="51"/>
      <c r="T2514" s="51"/>
      <c r="V2514" s="51"/>
      <c r="X2514" s="51"/>
    </row>
    <row r="2515" spans="6:24">
      <c r="F2515" s="51"/>
      <c r="H2515" s="51"/>
      <c r="L2515" s="51"/>
      <c r="P2515" s="51"/>
      <c r="T2515" s="51"/>
      <c r="V2515" s="51"/>
      <c r="X2515" s="51"/>
    </row>
    <row r="2516" spans="6:24">
      <c r="F2516" s="51"/>
      <c r="H2516" s="51"/>
      <c r="L2516" s="51"/>
      <c r="P2516" s="51"/>
      <c r="T2516" s="51"/>
      <c r="V2516" s="51"/>
      <c r="X2516" s="51"/>
    </row>
    <row r="2517" spans="6:24">
      <c r="F2517" s="51"/>
      <c r="H2517" s="51"/>
      <c r="L2517" s="51"/>
      <c r="P2517" s="51"/>
      <c r="T2517" s="51"/>
      <c r="V2517" s="51"/>
      <c r="X2517" s="51"/>
    </row>
    <row r="2518" spans="6:24">
      <c r="F2518" s="51"/>
      <c r="H2518" s="51"/>
      <c r="L2518" s="51"/>
      <c r="P2518" s="51"/>
      <c r="T2518" s="51"/>
      <c r="V2518" s="51"/>
      <c r="X2518" s="51"/>
    </row>
    <row r="2519" spans="6:24">
      <c r="F2519" s="51"/>
      <c r="H2519" s="51"/>
      <c r="L2519" s="51"/>
      <c r="P2519" s="51"/>
      <c r="T2519" s="51"/>
      <c r="V2519" s="51"/>
      <c r="X2519" s="51"/>
    </row>
    <row r="2520" spans="6:24">
      <c r="F2520" s="51"/>
      <c r="H2520" s="51"/>
      <c r="L2520" s="51"/>
      <c r="P2520" s="51"/>
      <c r="T2520" s="51"/>
      <c r="V2520" s="51"/>
      <c r="X2520" s="51"/>
    </row>
    <row r="2521" spans="6:24">
      <c r="F2521" s="51"/>
      <c r="H2521" s="51"/>
      <c r="L2521" s="51"/>
      <c r="P2521" s="51"/>
      <c r="T2521" s="51"/>
      <c r="V2521" s="51"/>
      <c r="X2521" s="51"/>
    </row>
    <row r="2522" spans="6:24">
      <c r="F2522" s="51"/>
      <c r="H2522" s="51"/>
      <c r="L2522" s="51"/>
      <c r="P2522" s="51"/>
      <c r="T2522" s="51"/>
      <c r="V2522" s="51"/>
      <c r="X2522" s="51"/>
    </row>
    <row r="2523" spans="6:24">
      <c r="F2523" s="51"/>
      <c r="H2523" s="51"/>
      <c r="L2523" s="51"/>
      <c r="P2523" s="51"/>
      <c r="T2523" s="51"/>
      <c r="V2523" s="51"/>
      <c r="X2523" s="51"/>
    </row>
    <row r="2524" spans="6:24">
      <c r="F2524" s="51"/>
      <c r="H2524" s="51"/>
      <c r="L2524" s="51"/>
      <c r="P2524" s="51"/>
      <c r="T2524" s="51"/>
      <c r="V2524" s="51"/>
      <c r="X2524" s="51"/>
    </row>
    <row r="2525" spans="6:24">
      <c r="F2525" s="51"/>
      <c r="H2525" s="51"/>
      <c r="L2525" s="51"/>
      <c r="P2525" s="51"/>
      <c r="T2525" s="51"/>
      <c r="V2525" s="51"/>
      <c r="X2525" s="51"/>
    </row>
    <row r="2526" spans="6:24">
      <c r="F2526" s="51"/>
      <c r="H2526" s="51"/>
      <c r="L2526" s="51"/>
      <c r="P2526" s="51"/>
      <c r="T2526" s="51"/>
      <c r="V2526" s="51"/>
      <c r="X2526" s="51"/>
    </row>
    <row r="2527" spans="6:24">
      <c r="F2527" s="51"/>
      <c r="H2527" s="51"/>
      <c r="L2527" s="51"/>
      <c r="P2527" s="51"/>
      <c r="T2527" s="51"/>
      <c r="V2527" s="51"/>
      <c r="X2527" s="51"/>
    </row>
    <row r="2528" spans="6:24">
      <c r="F2528" s="51"/>
      <c r="H2528" s="51"/>
      <c r="L2528" s="51"/>
      <c r="P2528" s="51"/>
      <c r="T2528" s="51"/>
      <c r="V2528" s="51"/>
      <c r="X2528" s="51"/>
    </row>
    <row r="2529" spans="6:24">
      <c r="F2529" s="51"/>
      <c r="H2529" s="51"/>
      <c r="L2529" s="51"/>
      <c r="P2529" s="51"/>
      <c r="T2529" s="51"/>
      <c r="V2529" s="51"/>
      <c r="X2529" s="51"/>
    </row>
    <row r="2530" spans="6:24">
      <c r="F2530" s="51"/>
      <c r="H2530" s="51"/>
      <c r="L2530" s="51"/>
      <c r="P2530" s="51"/>
      <c r="T2530" s="51"/>
      <c r="V2530" s="51"/>
      <c r="X2530" s="51"/>
    </row>
    <row r="2531" spans="6:24">
      <c r="F2531" s="51"/>
      <c r="H2531" s="51"/>
      <c r="L2531" s="51"/>
      <c r="P2531" s="51"/>
      <c r="T2531" s="51"/>
      <c r="V2531" s="51"/>
      <c r="X2531" s="51"/>
    </row>
    <row r="2532" spans="6:24">
      <c r="F2532" s="51"/>
      <c r="H2532" s="51"/>
      <c r="L2532" s="51"/>
      <c r="P2532" s="51"/>
      <c r="T2532" s="51"/>
      <c r="V2532" s="51"/>
      <c r="X2532" s="51"/>
    </row>
    <row r="2533" spans="6:24">
      <c r="F2533" s="51"/>
      <c r="H2533" s="51"/>
      <c r="L2533" s="51"/>
      <c r="P2533" s="51"/>
      <c r="T2533" s="51"/>
      <c r="V2533" s="51"/>
      <c r="X2533" s="51"/>
    </row>
    <row r="2534" spans="6:24">
      <c r="F2534" s="51"/>
      <c r="H2534" s="51"/>
      <c r="L2534" s="51"/>
      <c r="P2534" s="51"/>
      <c r="T2534" s="51"/>
      <c r="V2534" s="51"/>
      <c r="X2534" s="51"/>
    </row>
    <row r="2535" spans="6:24">
      <c r="F2535" s="51"/>
      <c r="H2535" s="51"/>
      <c r="L2535" s="51"/>
      <c r="P2535" s="51"/>
      <c r="T2535" s="51"/>
      <c r="V2535" s="51"/>
      <c r="X2535" s="51"/>
    </row>
    <row r="2536" spans="6:24">
      <c r="F2536" s="51"/>
      <c r="H2536" s="51"/>
      <c r="L2536" s="51"/>
      <c r="P2536" s="51"/>
      <c r="T2536" s="51"/>
      <c r="V2536" s="51"/>
      <c r="X2536" s="51"/>
    </row>
    <row r="2537" spans="6:24">
      <c r="F2537" s="51"/>
      <c r="H2537" s="51"/>
      <c r="L2537" s="51"/>
      <c r="P2537" s="51"/>
      <c r="T2537" s="51"/>
      <c r="V2537" s="51"/>
      <c r="X2537" s="51"/>
    </row>
    <row r="2538" spans="6:24">
      <c r="F2538" s="51"/>
      <c r="H2538" s="51"/>
      <c r="L2538" s="51"/>
      <c r="P2538" s="51"/>
      <c r="T2538" s="51"/>
      <c r="V2538" s="51"/>
      <c r="X2538" s="51"/>
    </row>
    <row r="2539" spans="6:24">
      <c r="F2539" s="51"/>
      <c r="H2539" s="51"/>
      <c r="L2539" s="51"/>
      <c r="P2539" s="51"/>
      <c r="T2539" s="51"/>
      <c r="V2539" s="51"/>
      <c r="X2539" s="51"/>
    </row>
    <row r="2540" spans="6:24">
      <c r="F2540" s="51"/>
      <c r="H2540" s="51"/>
      <c r="L2540" s="51"/>
      <c r="P2540" s="51"/>
      <c r="T2540" s="51"/>
      <c r="V2540" s="51"/>
      <c r="X2540" s="51"/>
    </row>
    <row r="2541" spans="6:24">
      <c r="F2541" s="51"/>
      <c r="H2541" s="51"/>
      <c r="L2541" s="51"/>
      <c r="P2541" s="51"/>
      <c r="T2541" s="51"/>
      <c r="V2541" s="51"/>
      <c r="X2541" s="51"/>
    </row>
    <row r="2542" spans="6:24">
      <c r="F2542" s="51"/>
      <c r="H2542" s="51"/>
      <c r="L2542" s="51"/>
      <c r="P2542" s="51"/>
      <c r="T2542" s="51"/>
      <c r="V2542" s="51"/>
      <c r="X2542" s="51"/>
    </row>
    <row r="2543" spans="6:24">
      <c r="F2543" s="51"/>
      <c r="H2543" s="51"/>
      <c r="L2543" s="51"/>
      <c r="P2543" s="51"/>
      <c r="T2543" s="51"/>
      <c r="V2543" s="51"/>
      <c r="X2543" s="51"/>
    </row>
    <row r="2544" spans="6:24">
      <c r="F2544" s="51"/>
      <c r="H2544" s="51"/>
      <c r="L2544" s="51"/>
      <c r="P2544" s="51"/>
      <c r="T2544" s="51"/>
      <c r="V2544" s="51"/>
      <c r="X2544" s="51"/>
    </row>
    <row r="2545" spans="6:24">
      <c r="F2545" s="51"/>
      <c r="H2545" s="51"/>
      <c r="L2545" s="51"/>
      <c r="P2545" s="51"/>
      <c r="T2545" s="51"/>
      <c r="V2545" s="51"/>
      <c r="X2545" s="51"/>
    </row>
    <row r="2546" spans="6:24">
      <c r="F2546" s="51"/>
      <c r="H2546" s="51"/>
      <c r="L2546" s="51"/>
      <c r="P2546" s="51"/>
      <c r="T2546" s="51"/>
      <c r="V2546" s="51"/>
      <c r="X2546" s="51"/>
    </row>
    <row r="2547" spans="6:24">
      <c r="F2547" s="51"/>
      <c r="H2547" s="51"/>
      <c r="L2547" s="51"/>
      <c r="P2547" s="51"/>
      <c r="T2547" s="51"/>
      <c r="V2547" s="51"/>
      <c r="X2547" s="51"/>
    </row>
    <row r="2548" spans="6:24">
      <c r="F2548" s="51"/>
      <c r="H2548" s="51"/>
      <c r="L2548" s="51"/>
      <c r="P2548" s="51"/>
      <c r="T2548" s="51"/>
      <c r="V2548" s="51"/>
      <c r="X2548" s="51"/>
    </row>
    <row r="2549" spans="6:24">
      <c r="F2549" s="51"/>
      <c r="H2549" s="51"/>
      <c r="L2549" s="51"/>
      <c r="P2549" s="51"/>
      <c r="T2549" s="51"/>
      <c r="V2549" s="51"/>
      <c r="X2549" s="51"/>
    </row>
    <row r="2550" spans="6:24">
      <c r="F2550" s="51"/>
      <c r="H2550" s="51"/>
      <c r="L2550" s="51"/>
      <c r="P2550" s="51"/>
      <c r="T2550" s="51"/>
      <c r="V2550" s="51"/>
      <c r="X2550" s="51"/>
    </row>
    <row r="2551" spans="6:24">
      <c r="F2551" s="51"/>
      <c r="H2551" s="51"/>
      <c r="L2551" s="51"/>
      <c r="P2551" s="51"/>
      <c r="T2551" s="51"/>
      <c r="V2551" s="51"/>
      <c r="X2551" s="51"/>
    </row>
    <row r="2552" spans="6:24">
      <c r="F2552" s="51"/>
      <c r="H2552" s="51"/>
      <c r="L2552" s="51"/>
      <c r="P2552" s="51"/>
      <c r="T2552" s="51"/>
      <c r="V2552" s="51"/>
      <c r="X2552" s="51"/>
    </row>
    <row r="2553" spans="6:24">
      <c r="F2553" s="51"/>
      <c r="H2553" s="51"/>
      <c r="L2553" s="51"/>
      <c r="P2553" s="51"/>
      <c r="T2553" s="51"/>
      <c r="V2553" s="51"/>
      <c r="X2553" s="51"/>
    </row>
    <row r="2554" spans="6:24">
      <c r="F2554" s="51"/>
      <c r="H2554" s="51"/>
      <c r="L2554" s="51"/>
      <c r="P2554" s="51"/>
      <c r="T2554" s="51"/>
      <c r="V2554" s="51"/>
      <c r="X2554" s="51"/>
    </row>
    <row r="2555" spans="6:24">
      <c r="F2555" s="51"/>
      <c r="H2555" s="51"/>
      <c r="L2555" s="51"/>
      <c r="P2555" s="51"/>
      <c r="T2555" s="51"/>
      <c r="V2555" s="51"/>
      <c r="X2555" s="51"/>
    </row>
    <row r="2556" spans="6:24">
      <c r="F2556" s="51"/>
      <c r="H2556" s="51"/>
      <c r="L2556" s="51"/>
      <c r="P2556" s="51"/>
      <c r="T2556" s="51"/>
      <c r="V2556" s="51"/>
      <c r="X2556" s="51"/>
    </row>
    <row r="2557" spans="6:24">
      <c r="F2557" s="51"/>
      <c r="H2557" s="51"/>
      <c r="L2557" s="51"/>
      <c r="P2557" s="51"/>
      <c r="T2557" s="51"/>
      <c r="V2557" s="51"/>
      <c r="X2557" s="51"/>
    </row>
    <row r="2558" spans="6:24">
      <c r="F2558" s="51"/>
      <c r="H2558" s="51"/>
      <c r="L2558" s="51"/>
      <c r="P2558" s="51"/>
      <c r="T2558" s="51"/>
      <c r="V2558" s="51"/>
      <c r="X2558" s="51"/>
    </row>
    <row r="2559" spans="6:24">
      <c r="F2559" s="51"/>
      <c r="H2559" s="51"/>
      <c r="L2559" s="51"/>
      <c r="P2559" s="51"/>
      <c r="T2559" s="51"/>
      <c r="V2559" s="51"/>
      <c r="X2559" s="51"/>
    </row>
    <row r="2560" spans="6:24">
      <c r="F2560" s="51"/>
      <c r="H2560" s="51"/>
      <c r="L2560" s="51"/>
      <c r="P2560" s="51"/>
      <c r="T2560" s="51"/>
      <c r="V2560" s="51"/>
      <c r="X2560" s="51"/>
    </row>
    <row r="2561" spans="6:24">
      <c r="F2561" s="51"/>
      <c r="H2561" s="51"/>
      <c r="L2561" s="51"/>
      <c r="P2561" s="51"/>
      <c r="T2561" s="51"/>
      <c r="V2561" s="51"/>
      <c r="X2561" s="51"/>
    </row>
    <row r="2562" spans="6:24">
      <c r="F2562" s="51"/>
      <c r="H2562" s="51"/>
      <c r="L2562" s="51"/>
      <c r="P2562" s="51"/>
      <c r="T2562" s="51"/>
      <c r="V2562" s="51"/>
      <c r="X2562" s="51"/>
    </row>
    <row r="2563" spans="6:24">
      <c r="F2563" s="51"/>
      <c r="H2563" s="51"/>
      <c r="L2563" s="51"/>
      <c r="P2563" s="51"/>
      <c r="T2563" s="51"/>
      <c r="V2563" s="51"/>
      <c r="X2563" s="51"/>
    </row>
    <row r="2564" spans="6:24">
      <c r="F2564" s="51"/>
      <c r="H2564" s="51"/>
      <c r="L2564" s="51"/>
      <c r="P2564" s="51"/>
      <c r="T2564" s="51"/>
      <c r="V2564" s="51"/>
      <c r="X2564" s="51"/>
    </row>
    <row r="2565" spans="6:24">
      <c r="F2565" s="51"/>
      <c r="H2565" s="51"/>
      <c r="L2565" s="51"/>
      <c r="P2565" s="51"/>
      <c r="T2565" s="51"/>
      <c r="V2565" s="51"/>
      <c r="X2565" s="51"/>
    </row>
    <row r="2566" spans="6:24">
      <c r="F2566" s="51"/>
      <c r="H2566" s="51"/>
      <c r="L2566" s="51"/>
      <c r="P2566" s="51"/>
      <c r="T2566" s="51"/>
      <c r="V2566" s="51"/>
      <c r="X2566" s="51"/>
    </row>
    <row r="2567" spans="6:24">
      <c r="F2567" s="51"/>
      <c r="H2567" s="51"/>
      <c r="L2567" s="51"/>
      <c r="P2567" s="51"/>
      <c r="T2567" s="51"/>
      <c r="V2567" s="51"/>
      <c r="X2567" s="51"/>
    </row>
    <row r="2568" spans="6:24">
      <c r="F2568" s="51"/>
      <c r="H2568" s="51"/>
      <c r="L2568" s="51"/>
      <c r="P2568" s="51"/>
      <c r="T2568" s="51"/>
      <c r="V2568" s="51"/>
      <c r="X2568" s="51"/>
    </row>
    <row r="2569" spans="6:24">
      <c r="F2569" s="51"/>
      <c r="H2569" s="51"/>
      <c r="L2569" s="51"/>
      <c r="P2569" s="51"/>
      <c r="T2569" s="51"/>
      <c r="V2569" s="51"/>
      <c r="X2569" s="51"/>
    </row>
  </sheetData>
  <sheetProtection algorithmName="SHA-512" hashValue="rW9FRIj5ygmGvCrpQpFpErRzhiQO+u5XSvhQnAKgYKnTpnVI7hPmC1F22l+a2Am/DRHv2graq+rEOhR+j82iQg==" saltValue="XlBs+xUYcr+O2PFYO/ZUwg==" spinCount="100000" sheet="1"/>
  <phoneticPr fontId="0" type="noConversion"/>
  <pageMargins left="0" right="0" top="7.0000000000000007E-2" bottom="0.2" header="0" footer="0"/>
  <pageSetup scale="75" pageOrder="overThenDown" orientation="landscape" horizontalDpi="300" verticalDpi="300" r:id="rId1"/>
  <headerFooter alignWithMargins="0">
    <oddFooter>&amp;C&amp;F&amp;RSeptember 3, 2003  1:00 pm</oddFooter>
  </headerFooter>
  <rowBreaks count="5" manualBreakCount="5">
    <brk id="62" min="3" max="30" man="1"/>
    <brk id="112" min="3" max="30" man="1"/>
    <brk id="161" min="3" max="30" man="1"/>
    <brk id="210" min="3" max="30" man="1"/>
    <brk id="247" max="16383" man="1"/>
  </rowBreaks>
  <colBreaks count="1" manualBreakCount="1">
    <brk id="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opLeftCell="A31" workbookViewId="0">
      <selection activeCell="J6" sqref="J6:K43"/>
    </sheetView>
  </sheetViews>
  <sheetFormatPr defaultColWidth="9.109375" defaultRowHeight="13.2"/>
  <cols>
    <col min="1" max="1" width="19.5546875" style="28" customWidth="1"/>
    <col min="2" max="2" width="10.6640625" style="28" customWidth="1"/>
    <col min="3" max="3" width="2.6640625" style="28" customWidth="1"/>
    <col min="4" max="4" width="19.109375" style="28" customWidth="1"/>
    <col min="5" max="5" width="10.44140625" style="28" customWidth="1"/>
    <col min="6" max="6" width="2.88671875" style="28" customWidth="1"/>
    <col min="7" max="7" width="22" style="28" customWidth="1"/>
    <col min="8" max="8" width="10.33203125" style="28" customWidth="1"/>
    <col min="9" max="9" width="2.6640625" style="28" customWidth="1"/>
    <col min="10" max="10" width="19" style="28" customWidth="1"/>
    <col min="11" max="11" width="10.109375" style="28" customWidth="1"/>
    <col min="12" max="16384" width="9.109375" style="28"/>
  </cols>
  <sheetData>
    <row r="1" spans="1:11" ht="30">
      <c r="A1" s="159" t="s">
        <v>435</v>
      </c>
      <c r="B1" s="159"/>
      <c r="C1" s="159"/>
      <c r="D1" s="159"/>
      <c r="E1" s="159"/>
      <c r="F1" s="159"/>
      <c r="G1" s="159"/>
      <c r="H1" s="159"/>
      <c r="I1" s="159"/>
      <c r="J1" s="159"/>
      <c r="K1" s="157"/>
    </row>
    <row r="2" spans="1:11" s="1" customFormat="1" ht="7.5" customHeight="1">
      <c r="B2" s="28"/>
      <c r="E2" s="28"/>
      <c r="H2" s="28"/>
    </row>
    <row r="3" spans="1:11" ht="20.399999999999999">
      <c r="A3" s="169" t="s">
        <v>390</v>
      </c>
      <c r="B3" s="169"/>
      <c r="C3" s="36"/>
      <c r="D3" s="169" t="s">
        <v>391</v>
      </c>
      <c r="E3" s="169"/>
      <c r="F3" s="36"/>
      <c r="G3" s="169" t="s">
        <v>392</v>
      </c>
      <c r="H3" s="169"/>
      <c r="I3" s="36"/>
      <c r="J3" s="169" t="s">
        <v>393</v>
      </c>
      <c r="K3" s="169"/>
    </row>
    <row r="4" spans="1:11" s="1" customFormat="1" ht="7.5" customHeight="1">
      <c r="B4" s="28"/>
      <c r="E4" s="28"/>
      <c r="H4" s="28"/>
    </row>
    <row r="5" spans="1:11" ht="11.25" customHeight="1">
      <c r="A5" s="158" t="s">
        <v>389</v>
      </c>
      <c r="B5" s="158" t="s">
        <v>11</v>
      </c>
      <c r="D5" s="158" t="s">
        <v>389</v>
      </c>
      <c r="E5" s="158" t="s">
        <v>11</v>
      </c>
      <c r="G5" s="158" t="s">
        <v>389</v>
      </c>
      <c r="H5" s="158" t="s">
        <v>11</v>
      </c>
      <c r="J5" s="158" t="s">
        <v>389</v>
      </c>
      <c r="K5" s="158" t="s">
        <v>11</v>
      </c>
    </row>
    <row r="6" spans="1:11" s="1" customFormat="1" ht="12" customHeight="1">
      <c r="A6" s="15" t="s">
        <v>345</v>
      </c>
      <c r="B6" s="2">
        <v>1067540</v>
      </c>
      <c r="D6" s="12" t="s">
        <v>92</v>
      </c>
      <c r="E6" s="2">
        <v>154662</v>
      </c>
      <c r="G6" s="15" t="s">
        <v>133</v>
      </c>
      <c r="H6" s="2">
        <v>49850</v>
      </c>
      <c r="J6" s="12" t="s">
        <v>86</v>
      </c>
      <c r="K6" s="2">
        <v>19852</v>
      </c>
    </row>
    <row r="7" spans="1:11" s="1" customFormat="1" ht="12" customHeight="1">
      <c r="A7" s="15" t="s">
        <v>273</v>
      </c>
      <c r="B7" s="2">
        <v>857921</v>
      </c>
      <c r="D7" s="15" t="s">
        <v>279</v>
      </c>
      <c r="E7" s="2">
        <v>154368</v>
      </c>
      <c r="G7" s="12" t="s">
        <v>200</v>
      </c>
      <c r="H7" s="2">
        <v>47342</v>
      </c>
      <c r="J7" s="15" t="s">
        <v>53</v>
      </c>
      <c r="K7" s="2">
        <v>19813</v>
      </c>
    </row>
    <row r="8" spans="1:11" s="1" customFormat="1" ht="12" customHeight="1">
      <c r="A8" s="15" t="s">
        <v>305</v>
      </c>
      <c r="B8" s="2">
        <v>811236</v>
      </c>
      <c r="D8" s="15" t="s">
        <v>23</v>
      </c>
      <c r="E8" s="2">
        <v>153061</v>
      </c>
      <c r="G8" s="12" t="s">
        <v>149</v>
      </c>
      <c r="H8" s="2">
        <v>47250</v>
      </c>
      <c r="J8" s="15" t="s">
        <v>56</v>
      </c>
      <c r="K8" s="2">
        <v>19386</v>
      </c>
    </row>
    <row r="9" spans="1:11" s="1" customFormat="1" ht="12" customHeight="1">
      <c r="A9" s="15" t="s">
        <v>245</v>
      </c>
      <c r="B9" s="2">
        <v>806379</v>
      </c>
      <c r="D9" s="15" t="s">
        <v>269</v>
      </c>
      <c r="E9" s="2">
        <v>145018</v>
      </c>
      <c r="G9" s="15" t="s">
        <v>184</v>
      </c>
      <c r="H9" s="2">
        <v>46121</v>
      </c>
      <c r="J9" s="15" t="s">
        <v>100</v>
      </c>
      <c r="K9" s="2">
        <v>19258</v>
      </c>
    </row>
    <row r="10" spans="1:11" s="1" customFormat="1" ht="12" customHeight="1">
      <c r="A10" s="15" t="s">
        <v>189</v>
      </c>
      <c r="B10" s="2">
        <v>702984</v>
      </c>
      <c r="D10" s="15" t="s">
        <v>157</v>
      </c>
      <c r="E10" s="2">
        <v>141645</v>
      </c>
      <c r="G10" s="15" t="s">
        <v>27</v>
      </c>
      <c r="H10" s="2">
        <v>40780</v>
      </c>
      <c r="J10" s="15" t="s">
        <v>104</v>
      </c>
      <c r="K10" s="2">
        <v>19053</v>
      </c>
    </row>
    <row r="11" spans="1:11" s="1" customFormat="1" ht="12" customHeight="1">
      <c r="A11" s="15" t="s">
        <v>324</v>
      </c>
      <c r="B11" s="2">
        <v>670170</v>
      </c>
      <c r="D11" s="12" t="s">
        <v>307</v>
      </c>
      <c r="E11" s="2">
        <v>140456</v>
      </c>
      <c r="G11" s="15" t="s">
        <v>112</v>
      </c>
      <c r="H11" s="2">
        <v>40343</v>
      </c>
      <c r="J11" s="12" t="s">
        <v>336</v>
      </c>
      <c r="K11" s="2">
        <v>17749</v>
      </c>
    </row>
    <row r="12" spans="1:11" s="1" customFormat="1" ht="12" customHeight="1">
      <c r="A12" s="15" t="s">
        <v>46</v>
      </c>
      <c r="B12" s="2">
        <v>604247</v>
      </c>
      <c r="D12" s="15" t="s">
        <v>187</v>
      </c>
      <c r="E12" s="2">
        <v>129787</v>
      </c>
      <c r="G12" s="15" t="s">
        <v>183</v>
      </c>
      <c r="H12" s="2">
        <v>38935</v>
      </c>
      <c r="J12" s="15" t="s">
        <v>340</v>
      </c>
      <c r="K12" s="2">
        <v>14435</v>
      </c>
    </row>
    <row r="13" spans="1:11" s="1" customFormat="1" ht="12" customHeight="1">
      <c r="A13" s="15" t="s">
        <v>235</v>
      </c>
      <c r="B13" s="2">
        <v>495200</v>
      </c>
      <c r="D13" s="12" t="s">
        <v>153</v>
      </c>
      <c r="E13" s="2">
        <v>129149</v>
      </c>
      <c r="G13" s="15" t="s">
        <v>44</v>
      </c>
      <c r="H13" s="2">
        <v>36358</v>
      </c>
      <c r="J13" s="15" t="s">
        <v>179</v>
      </c>
      <c r="K13" s="2">
        <v>13837</v>
      </c>
    </row>
    <row r="14" spans="1:11" s="1" customFormat="1" ht="12" customHeight="1">
      <c r="A14" s="15" t="s">
        <v>303</v>
      </c>
      <c r="B14" s="2">
        <v>472697</v>
      </c>
      <c r="D14" s="12" t="s">
        <v>68</v>
      </c>
      <c r="E14" s="2">
        <v>122944</v>
      </c>
      <c r="G14" s="15" t="s">
        <v>106</v>
      </c>
      <c r="H14" s="2">
        <v>36154</v>
      </c>
      <c r="J14" s="2" t="s">
        <v>98</v>
      </c>
      <c r="K14" s="2">
        <v>13506</v>
      </c>
    </row>
    <row r="15" spans="1:11" s="1" customFormat="1" ht="12" customHeight="1">
      <c r="A15" s="15" t="s">
        <v>262</v>
      </c>
      <c r="B15" s="2">
        <v>464725</v>
      </c>
      <c r="D15" s="12" t="s">
        <v>20</v>
      </c>
      <c r="E15" s="2">
        <v>122857</v>
      </c>
      <c r="G15" s="15" t="s">
        <v>40</v>
      </c>
      <c r="H15" s="2">
        <v>36128</v>
      </c>
      <c r="J15" s="15" t="s">
        <v>102</v>
      </c>
      <c r="K15" s="2">
        <v>13312</v>
      </c>
    </row>
    <row r="16" spans="1:11" s="1" customFormat="1" ht="12" customHeight="1">
      <c r="A16" s="15" t="s">
        <v>169</v>
      </c>
      <c r="B16" s="2">
        <v>409315</v>
      </c>
      <c r="D16" s="15" t="s">
        <v>54</v>
      </c>
      <c r="E16" s="2">
        <v>120460</v>
      </c>
      <c r="G16" s="15" t="s">
        <v>161</v>
      </c>
      <c r="H16" s="10">
        <v>33330</v>
      </c>
      <c r="J16" s="12" t="s">
        <v>80</v>
      </c>
      <c r="K16" s="2">
        <v>13222</v>
      </c>
    </row>
    <row r="17" spans="1:11" s="1" customFormat="1" ht="12" customHeight="1">
      <c r="A17" s="15" t="s">
        <v>207</v>
      </c>
      <c r="B17" s="2">
        <v>376674</v>
      </c>
      <c r="D17" s="15" t="s">
        <v>143</v>
      </c>
      <c r="E17" s="2">
        <v>111557</v>
      </c>
      <c r="G17" s="15" t="s">
        <v>33</v>
      </c>
      <c r="H17" s="2">
        <v>32715</v>
      </c>
      <c r="J17" s="12" t="s">
        <v>88</v>
      </c>
      <c r="K17" s="2">
        <v>11897</v>
      </c>
    </row>
    <row r="18" spans="1:11" s="1" customFormat="1" ht="12" customHeight="1">
      <c r="A18" s="15" t="s">
        <v>313</v>
      </c>
      <c r="B18" s="2">
        <v>319821</v>
      </c>
      <c r="D18" s="15" t="s">
        <v>429</v>
      </c>
      <c r="E18" s="2">
        <v>110593</v>
      </c>
      <c r="G18" s="15" t="s">
        <v>203</v>
      </c>
      <c r="H18" s="2">
        <v>32146</v>
      </c>
      <c r="J18" s="15" t="s">
        <v>127</v>
      </c>
      <c r="K18" s="2">
        <v>11870</v>
      </c>
    </row>
    <row r="19" spans="1:11" s="1" customFormat="1" ht="12" customHeight="1">
      <c r="A19" s="15" t="s">
        <v>332</v>
      </c>
      <c r="B19" s="2">
        <v>302311</v>
      </c>
      <c r="D19" s="15" t="s">
        <v>175</v>
      </c>
      <c r="E19" s="2">
        <v>107475</v>
      </c>
      <c r="G19" s="15" t="s">
        <v>42</v>
      </c>
      <c r="H19" s="2">
        <v>31978</v>
      </c>
      <c r="J19" s="15" t="s">
        <v>195</v>
      </c>
      <c r="K19" s="2">
        <v>11299</v>
      </c>
    </row>
    <row r="20" spans="1:11" s="1" customFormat="1" ht="12" customHeight="1">
      <c r="A20" s="15" t="s">
        <v>171</v>
      </c>
      <c r="B20" s="2">
        <v>264592</v>
      </c>
      <c r="D20" s="15" t="s">
        <v>251</v>
      </c>
      <c r="E20" s="2">
        <v>106599</v>
      </c>
      <c r="G20" s="15" t="s">
        <v>260</v>
      </c>
      <c r="H20" s="2">
        <v>31825</v>
      </c>
      <c r="J20" s="15" t="s">
        <v>343</v>
      </c>
      <c r="K20" s="2">
        <v>10889</v>
      </c>
    </row>
    <row r="21" spans="1:11" s="1" customFormat="1" ht="12" customHeight="1">
      <c r="A21" s="15" t="s">
        <v>255</v>
      </c>
      <c r="B21" s="2">
        <v>257091</v>
      </c>
      <c r="D21" s="15" t="s">
        <v>163</v>
      </c>
      <c r="E21" s="2">
        <v>104686</v>
      </c>
      <c r="G21" s="15" t="s">
        <v>145</v>
      </c>
      <c r="H21" s="2">
        <v>31394</v>
      </c>
      <c r="J21" s="12" t="s">
        <v>338</v>
      </c>
      <c r="K21" s="2">
        <v>10492</v>
      </c>
    </row>
    <row r="22" spans="1:11" s="1" customFormat="1" ht="12" customHeight="1">
      <c r="A22" s="12" t="s">
        <v>115</v>
      </c>
      <c r="B22" s="2">
        <v>256195</v>
      </c>
      <c r="D22" s="15" t="s">
        <v>330</v>
      </c>
      <c r="E22" s="2">
        <v>104074</v>
      </c>
      <c r="G22" s="15" t="s">
        <v>288</v>
      </c>
      <c r="H22" s="2">
        <v>31201</v>
      </c>
      <c r="J22" s="12" t="s">
        <v>223</v>
      </c>
      <c r="K22" s="2">
        <v>9115</v>
      </c>
    </row>
    <row r="23" spans="1:11" s="1" customFormat="1" ht="12" customHeight="1">
      <c r="A23" s="15" t="s">
        <v>264</v>
      </c>
      <c r="B23" s="2">
        <v>241325</v>
      </c>
      <c r="D23" s="12" t="s">
        <v>191</v>
      </c>
      <c r="E23" s="2">
        <v>99973</v>
      </c>
      <c r="G23" s="15" t="s">
        <v>193</v>
      </c>
      <c r="H23" s="2">
        <v>29183</v>
      </c>
      <c r="J23" s="15" t="s">
        <v>147</v>
      </c>
      <c r="K23" s="2">
        <v>8983</v>
      </c>
    </row>
    <row r="24" spans="1:11" s="1" customFormat="1" ht="12" customHeight="1">
      <c r="A24" s="15" t="s">
        <v>249</v>
      </c>
      <c r="B24" s="2">
        <v>240028</v>
      </c>
      <c r="D24" s="15" t="s">
        <v>35</v>
      </c>
      <c r="E24" s="2">
        <v>93267</v>
      </c>
      <c r="G24" s="15" t="s">
        <v>137</v>
      </c>
      <c r="H24" s="2">
        <v>28713</v>
      </c>
      <c r="J24" s="15" t="s">
        <v>72</v>
      </c>
      <c r="K24" s="2">
        <v>8146</v>
      </c>
    </row>
    <row r="25" spans="1:11" s="1" customFormat="1" ht="12" customHeight="1">
      <c r="A25" s="15" t="s">
        <v>151</v>
      </c>
      <c r="B25" s="2">
        <v>230642</v>
      </c>
      <c r="D25" s="15" t="s">
        <v>21</v>
      </c>
      <c r="E25" s="2">
        <v>91254</v>
      </c>
      <c r="G25" s="15" t="s">
        <v>123</v>
      </c>
      <c r="H25" s="2">
        <v>28221</v>
      </c>
      <c r="J25" s="12" t="s">
        <v>221</v>
      </c>
      <c r="K25" s="2">
        <v>6702</v>
      </c>
    </row>
    <row r="26" spans="1:11" s="1" customFormat="1" ht="12" customHeight="1">
      <c r="A26" s="15" t="s">
        <v>159</v>
      </c>
      <c r="B26" s="2">
        <v>229406</v>
      </c>
      <c r="D26" s="12" t="s">
        <v>77</v>
      </c>
      <c r="E26" s="2">
        <v>90746</v>
      </c>
      <c r="G26" s="15" t="s">
        <v>141</v>
      </c>
      <c r="H26" s="2">
        <v>26642</v>
      </c>
      <c r="J26" s="15" t="s">
        <v>73</v>
      </c>
      <c r="K26" s="2">
        <v>6514</v>
      </c>
    </row>
    <row r="27" spans="1:11" s="1" customFormat="1" ht="12" customHeight="1">
      <c r="A27" s="15" t="s">
        <v>125</v>
      </c>
      <c r="B27" s="2">
        <v>229174</v>
      </c>
      <c r="D27" s="12" t="s">
        <v>217</v>
      </c>
      <c r="E27" s="2">
        <f>87161+1336</f>
        <v>88497</v>
      </c>
      <c r="G27" s="15" t="s">
        <v>342</v>
      </c>
      <c r="H27" s="2">
        <v>26063</v>
      </c>
      <c r="J27" s="15" t="s">
        <v>317</v>
      </c>
      <c r="K27" s="2">
        <v>6006</v>
      </c>
    </row>
    <row r="28" spans="1:11" s="1" customFormat="1" ht="12" customHeight="1">
      <c r="A28" s="15" t="s">
        <v>48</v>
      </c>
      <c r="B28" s="2">
        <v>220514</v>
      </c>
      <c r="D28" s="15" t="s">
        <v>71</v>
      </c>
      <c r="E28" s="2">
        <v>86483</v>
      </c>
      <c r="G28" s="12" t="s">
        <v>75</v>
      </c>
      <c r="H28" s="2">
        <v>25979</v>
      </c>
      <c r="J28" s="15" t="s">
        <v>129</v>
      </c>
      <c r="K28" s="2">
        <v>5680</v>
      </c>
    </row>
    <row r="29" spans="1:11" s="1" customFormat="1" ht="12" customHeight="1">
      <c r="A29" s="15" t="s">
        <v>315</v>
      </c>
      <c r="B29" s="2">
        <v>216254</v>
      </c>
      <c r="D29" s="15" t="s">
        <v>154</v>
      </c>
      <c r="E29" s="2">
        <v>81026</v>
      </c>
      <c r="G29" s="15" t="s">
        <v>181</v>
      </c>
      <c r="H29" s="2">
        <v>25799</v>
      </c>
      <c r="J29" s="15" t="s">
        <v>176</v>
      </c>
      <c r="K29" s="2">
        <v>5442</v>
      </c>
    </row>
    <row r="30" spans="1:11" s="1" customFormat="1" ht="12" customHeight="1">
      <c r="A30" s="12" t="s">
        <v>70</v>
      </c>
      <c r="B30" s="2">
        <v>200762</v>
      </c>
      <c r="D30" s="15" t="s">
        <v>326</v>
      </c>
      <c r="E30" s="2">
        <v>80214</v>
      </c>
      <c r="G30" s="15" t="s">
        <v>25</v>
      </c>
      <c r="H30" s="2">
        <v>25351</v>
      </c>
      <c r="J30" s="15" t="s">
        <v>322</v>
      </c>
      <c r="K30" s="2">
        <v>4084</v>
      </c>
    </row>
    <row r="31" spans="1:11" s="1" customFormat="1" ht="12" customHeight="1">
      <c r="A31" s="15" t="s">
        <v>131</v>
      </c>
      <c r="B31" s="2">
        <v>195059</v>
      </c>
      <c r="D31" s="15" t="s">
        <v>205</v>
      </c>
      <c r="E31" s="2">
        <v>65035</v>
      </c>
      <c r="G31" s="15" t="s">
        <v>108</v>
      </c>
      <c r="H31" s="2">
        <v>25026</v>
      </c>
      <c r="J31" s="15" t="s">
        <v>37</v>
      </c>
      <c r="K31" s="2">
        <v>3155</v>
      </c>
    </row>
    <row r="32" spans="1:11" s="1" customFormat="1" ht="12" customHeight="1">
      <c r="A32" s="12" t="s">
        <v>299</v>
      </c>
      <c r="B32" s="2">
        <v>193686</v>
      </c>
      <c r="D32" s="15" t="s">
        <v>135</v>
      </c>
      <c r="E32" s="10">
        <v>62813</v>
      </c>
      <c r="G32" s="15" t="s">
        <v>253</v>
      </c>
      <c r="H32" s="2">
        <v>24638</v>
      </c>
      <c r="J32" s="15" t="s">
        <v>51</v>
      </c>
      <c r="K32" s="2">
        <v>3130</v>
      </c>
    </row>
    <row r="33" spans="1:11" s="1" customFormat="1" ht="12" customHeight="1">
      <c r="A33" s="15" t="s">
        <v>240</v>
      </c>
      <c r="B33" s="2">
        <v>189624</v>
      </c>
      <c r="D33" s="15" t="s">
        <v>231</v>
      </c>
      <c r="E33" s="2">
        <v>59511</v>
      </c>
      <c r="G33" s="15" t="s">
        <v>277</v>
      </c>
      <c r="H33" s="2">
        <v>24492</v>
      </c>
      <c r="J33" s="15" t="s">
        <v>292</v>
      </c>
      <c r="K33" s="2">
        <v>2974</v>
      </c>
    </row>
    <row r="34" spans="1:11" s="1" customFormat="1" ht="12" customHeight="1">
      <c r="A34" s="12" t="s">
        <v>225</v>
      </c>
      <c r="B34" s="2">
        <v>184317</v>
      </c>
      <c r="D34" s="15" t="s">
        <v>283</v>
      </c>
      <c r="E34" s="2">
        <v>58870</v>
      </c>
      <c r="G34" s="15" t="s">
        <v>121</v>
      </c>
      <c r="H34" s="2">
        <v>24303</v>
      </c>
      <c r="J34" s="15" t="s">
        <v>150</v>
      </c>
      <c r="K34" s="2">
        <v>2959</v>
      </c>
    </row>
    <row r="35" spans="1:11" s="1" customFormat="1" ht="12" customHeight="1">
      <c r="A35" s="15" t="s">
        <v>311</v>
      </c>
      <c r="B35" s="2">
        <v>183215</v>
      </c>
      <c r="D35" s="15" t="s">
        <v>237</v>
      </c>
      <c r="E35" s="2">
        <v>56240</v>
      </c>
      <c r="G35" s="15" t="s">
        <v>209</v>
      </c>
      <c r="H35" s="2">
        <v>24009</v>
      </c>
      <c r="J35" s="15" t="s">
        <v>139</v>
      </c>
      <c r="K35" s="2">
        <v>2949</v>
      </c>
    </row>
    <row r="36" spans="1:11" s="1" customFormat="1" ht="12" customHeight="1">
      <c r="A36" s="15" t="s">
        <v>110</v>
      </c>
      <c r="B36" s="2">
        <v>182282</v>
      </c>
      <c r="D36" s="12" t="s">
        <v>84</v>
      </c>
      <c r="E36" s="2">
        <v>56046</v>
      </c>
      <c r="G36" s="15" t="s">
        <v>233</v>
      </c>
      <c r="H36" s="2">
        <v>23974</v>
      </c>
      <c r="J36" s="15" t="s">
        <v>286</v>
      </c>
      <c r="K36" s="2">
        <v>2415</v>
      </c>
    </row>
    <row r="37" spans="1:11" s="1" customFormat="1" ht="12" customHeight="1">
      <c r="A37" s="12" t="s">
        <v>267</v>
      </c>
      <c r="B37" s="2">
        <v>177994</v>
      </c>
      <c r="D37" s="15" t="s">
        <v>258</v>
      </c>
      <c r="E37" s="2">
        <v>54739</v>
      </c>
      <c r="G37" s="15" t="s">
        <v>347</v>
      </c>
      <c r="H37" s="2">
        <v>23755</v>
      </c>
      <c r="J37" s="15" t="s">
        <v>29</v>
      </c>
      <c r="K37" s="2">
        <v>2156</v>
      </c>
    </row>
    <row r="38" spans="1:11" s="1" customFormat="1" ht="12" customHeight="1">
      <c r="A38" s="15" t="s">
        <v>63</v>
      </c>
      <c r="B38" s="2">
        <v>175162</v>
      </c>
      <c r="D38" s="12" t="s">
        <v>213</v>
      </c>
      <c r="E38" s="2">
        <f>15565+38152</f>
        <v>53717</v>
      </c>
      <c r="G38" s="15" t="s">
        <v>120</v>
      </c>
      <c r="H38" s="2">
        <v>22699</v>
      </c>
      <c r="J38" s="12" t="s">
        <v>82</v>
      </c>
      <c r="K38" s="2">
        <v>1728</v>
      </c>
    </row>
    <row r="39" spans="1:11" s="1" customFormat="1" ht="12" customHeight="1">
      <c r="A39" s="15" t="s">
        <v>117</v>
      </c>
      <c r="B39" s="2">
        <v>173755</v>
      </c>
      <c r="D39" s="15" t="s">
        <v>318</v>
      </c>
      <c r="E39" s="2">
        <v>51572</v>
      </c>
      <c r="G39" s="12" t="s">
        <v>215</v>
      </c>
      <c r="H39" s="2">
        <v>21947</v>
      </c>
      <c r="J39" s="15" t="s">
        <v>247</v>
      </c>
      <c r="K39" s="2">
        <v>1633</v>
      </c>
    </row>
    <row r="40" spans="1:11" s="1" customFormat="1" ht="12" customHeight="1">
      <c r="A40" s="15" t="s">
        <v>50</v>
      </c>
      <c r="B40" s="2">
        <v>173747</v>
      </c>
      <c r="D40" s="15" t="s">
        <v>242</v>
      </c>
      <c r="E40" s="2">
        <v>50945</v>
      </c>
      <c r="G40" s="15" t="s">
        <v>281</v>
      </c>
      <c r="H40" s="2">
        <v>21708</v>
      </c>
      <c r="J40" s="15" t="s">
        <v>173</v>
      </c>
      <c r="K40" s="2">
        <v>1291</v>
      </c>
    </row>
    <row r="41" spans="1:11" s="1" customFormat="1" ht="12" customHeight="1">
      <c r="A41" s="15" t="s">
        <v>271</v>
      </c>
      <c r="B41" s="2">
        <v>172475</v>
      </c>
      <c r="D41" s="15" t="s">
        <v>290</v>
      </c>
      <c r="E41" s="2">
        <v>50333</v>
      </c>
      <c r="G41" s="12" t="s">
        <v>90</v>
      </c>
      <c r="H41" s="2">
        <v>20322</v>
      </c>
      <c r="J41" s="12" t="s">
        <v>198</v>
      </c>
      <c r="K41" s="2">
        <v>1159</v>
      </c>
    </row>
    <row r="42" spans="1:11" s="1" customFormat="1" ht="12" customHeight="1">
      <c r="A42" s="15" t="s">
        <v>320</v>
      </c>
      <c r="B42" s="2">
        <v>169791</v>
      </c>
      <c r="J42" s="15" t="s">
        <v>334</v>
      </c>
      <c r="K42" s="2">
        <v>954</v>
      </c>
    </row>
    <row r="43" spans="1:11" s="1" customFormat="1" ht="12" customHeight="1">
      <c r="A43" s="15" t="s">
        <v>178</v>
      </c>
      <c r="B43" s="2">
        <v>166583</v>
      </c>
      <c r="J43" s="15" t="s">
        <v>211</v>
      </c>
      <c r="K43" s="2">
        <v>11</v>
      </c>
    </row>
    <row r="44" spans="1:11" s="1" customFormat="1" ht="12" customHeight="1"/>
    <row r="45" spans="1:11" s="1" customFormat="1" ht="12" customHeight="1"/>
    <row r="46" spans="1:11" s="1" customFormat="1" ht="12" customHeight="1"/>
    <row r="47" spans="1:11" s="1" customFormat="1" ht="12" customHeight="1"/>
    <row r="48" spans="1:11" s="1" customFormat="1" ht="12" customHeight="1"/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</sheetData>
  <sheetProtection algorithmName="SHA-512" hashValue="LAV6DUg7YRczkzl4nJbFqwTq65Ai2QOSeRIv5GsglmjLhlFbSo98ig6BOJvHRTvv4heKIWbNgl2qMPV2EFag1g==" saltValue="Q9IP0FZUL5rsTYTHFbS+CA==" spinCount="100000" sheet="1"/>
  <mergeCells count="4">
    <mergeCell ref="A3:B3"/>
    <mergeCell ref="D3:E3"/>
    <mergeCell ref="G3:H3"/>
    <mergeCell ref="J3:K3"/>
  </mergeCells>
  <phoneticPr fontId="0" type="noConversion"/>
  <pageMargins left="0.44" right="0.37" top="0.28999999999999998" bottom="0.33" header="0.27" footer="0.2"/>
  <pageSetup orientation="landscape" horizontalDpi="0" r:id="rId1"/>
  <headerFooter alignWithMargins="0">
    <oddFooter>&amp;L&amp;8FY02-03/Final Balances Report Updated&amp;R&amp;8September 3, 2003   1:00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>
      <selection activeCell="C111" sqref="C111"/>
    </sheetView>
  </sheetViews>
  <sheetFormatPr defaultRowHeight="13.2"/>
  <cols>
    <col min="1" max="1" width="29.77734375" customWidth="1"/>
    <col min="2" max="2" width="21.109375" customWidth="1"/>
  </cols>
  <sheetData>
    <row r="1" spans="1:2">
      <c r="A1" s="158" t="s">
        <v>389</v>
      </c>
      <c r="B1" s="158" t="s">
        <v>11</v>
      </c>
    </row>
    <row r="2" spans="1:2">
      <c r="A2" s="15" t="s">
        <v>345</v>
      </c>
      <c r="B2" s="2">
        <v>1067540</v>
      </c>
    </row>
    <row r="3" spans="1:2">
      <c r="A3" s="15" t="s">
        <v>273</v>
      </c>
      <c r="B3" s="2">
        <v>857921</v>
      </c>
    </row>
    <row r="4" spans="1:2">
      <c r="A4" s="15" t="s">
        <v>305</v>
      </c>
      <c r="B4" s="2">
        <v>811236</v>
      </c>
    </row>
    <row r="5" spans="1:2">
      <c r="A5" s="15" t="s">
        <v>245</v>
      </c>
      <c r="B5" s="2">
        <v>806379</v>
      </c>
    </row>
    <row r="6" spans="1:2">
      <c r="A6" s="15" t="s">
        <v>189</v>
      </c>
      <c r="B6" s="2">
        <v>702984</v>
      </c>
    </row>
    <row r="7" spans="1:2">
      <c r="A7" s="15" t="s">
        <v>324</v>
      </c>
      <c r="B7" s="2">
        <v>670170</v>
      </c>
    </row>
    <row r="8" spans="1:2">
      <c r="A8" s="15" t="s">
        <v>46</v>
      </c>
      <c r="B8" s="2">
        <v>604247</v>
      </c>
    </row>
    <row r="9" spans="1:2">
      <c r="A9" s="15" t="s">
        <v>235</v>
      </c>
      <c r="B9" s="2">
        <v>495200</v>
      </c>
    </row>
    <row r="10" spans="1:2">
      <c r="A10" s="15" t="s">
        <v>303</v>
      </c>
      <c r="B10" s="2">
        <v>472697</v>
      </c>
    </row>
    <row r="11" spans="1:2">
      <c r="A11" s="15" t="s">
        <v>262</v>
      </c>
      <c r="B11" s="2">
        <v>464725</v>
      </c>
    </row>
    <row r="12" spans="1:2">
      <c r="A12" s="15" t="s">
        <v>169</v>
      </c>
      <c r="B12" s="2">
        <v>409315</v>
      </c>
    </row>
    <row r="13" spans="1:2">
      <c r="A13" s="15" t="s">
        <v>207</v>
      </c>
      <c r="B13" s="2">
        <v>376674</v>
      </c>
    </row>
    <row r="14" spans="1:2">
      <c r="A14" s="15" t="s">
        <v>313</v>
      </c>
      <c r="B14" s="2">
        <v>319821</v>
      </c>
    </row>
    <row r="15" spans="1:2">
      <c r="A15" s="15" t="s">
        <v>332</v>
      </c>
      <c r="B15" s="2">
        <v>302311</v>
      </c>
    </row>
    <row r="16" spans="1:2">
      <c r="A16" s="15" t="s">
        <v>171</v>
      </c>
      <c r="B16" s="2">
        <v>264592</v>
      </c>
    </row>
    <row r="17" spans="1:2">
      <c r="A17" s="15" t="s">
        <v>255</v>
      </c>
      <c r="B17" s="2">
        <v>257091</v>
      </c>
    </row>
    <row r="18" spans="1:2">
      <c r="A18" s="12" t="s">
        <v>115</v>
      </c>
      <c r="B18" s="2">
        <v>256195</v>
      </c>
    </row>
    <row r="19" spans="1:2">
      <c r="A19" s="15" t="s">
        <v>264</v>
      </c>
      <c r="B19" s="2">
        <v>241325</v>
      </c>
    </row>
    <row r="20" spans="1:2">
      <c r="A20" s="15" t="s">
        <v>249</v>
      </c>
      <c r="B20" s="2">
        <v>240028</v>
      </c>
    </row>
    <row r="21" spans="1:2">
      <c r="A21" s="15" t="s">
        <v>151</v>
      </c>
      <c r="B21" s="2">
        <v>230642</v>
      </c>
    </row>
    <row r="22" spans="1:2">
      <c r="A22" s="15" t="s">
        <v>159</v>
      </c>
      <c r="B22" s="2">
        <v>229406</v>
      </c>
    </row>
    <row r="23" spans="1:2">
      <c r="A23" s="15" t="s">
        <v>125</v>
      </c>
      <c r="B23" s="2">
        <v>229174</v>
      </c>
    </row>
    <row r="24" spans="1:2">
      <c r="A24" s="15" t="s">
        <v>48</v>
      </c>
      <c r="B24" s="2">
        <v>220514</v>
      </c>
    </row>
    <row r="25" spans="1:2">
      <c r="A25" s="15" t="s">
        <v>315</v>
      </c>
      <c r="B25" s="2">
        <v>216254</v>
      </c>
    </row>
    <row r="26" spans="1:2">
      <c r="A26" s="12" t="s">
        <v>70</v>
      </c>
      <c r="B26" s="2">
        <v>200762</v>
      </c>
    </row>
    <row r="27" spans="1:2">
      <c r="A27" s="15" t="s">
        <v>131</v>
      </c>
      <c r="B27" s="2">
        <v>195059</v>
      </c>
    </row>
    <row r="28" spans="1:2">
      <c r="A28" s="12" t="s">
        <v>299</v>
      </c>
      <c r="B28" s="2">
        <v>193686</v>
      </c>
    </row>
    <row r="29" spans="1:2">
      <c r="A29" s="15" t="s">
        <v>240</v>
      </c>
      <c r="B29" s="2">
        <v>189624</v>
      </c>
    </row>
    <row r="30" spans="1:2">
      <c r="A30" s="12" t="s">
        <v>225</v>
      </c>
      <c r="B30" s="2">
        <v>184317</v>
      </c>
    </row>
    <row r="31" spans="1:2">
      <c r="A31" s="15" t="s">
        <v>311</v>
      </c>
      <c r="B31" s="2">
        <v>183215</v>
      </c>
    </row>
    <row r="32" spans="1:2">
      <c r="A32" s="15" t="s">
        <v>110</v>
      </c>
      <c r="B32" s="2">
        <v>182282</v>
      </c>
    </row>
    <row r="33" spans="1:2">
      <c r="A33" s="12" t="s">
        <v>267</v>
      </c>
      <c r="B33" s="2">
        <v>177994</v>
      </c>
    </row>
    <row r="34" spans="1:2">
      <c r="A34" s="15" t="s">
        <v>63</v>
      </c>
      <c r="B34" s="2">
        <v>175162</v>
      </c>
    </row>
    <row r="35" spans="1:2">
      <c r="A35" s="15" t="s">
        <v>117</v>
      </c>
      <c r="B35" s="2">
        <v>173755</v>
      </c>
    </row>
    <row r="36" spans="1:2">
      <c r="A36" s="15" t="s">
        <v>50</v>
      </c>
      <c r="B36" s="2">
        <v>173747</v>
      </c>
    </row>
    <row r="37" spans="1:2">
      <c r="A37" s="15" t="s">
        <v>271</v>
      </c>
      <c r="B37" s="2">
        <v>172475</v>
      </c>
    </row>
    <row r="38" spans="1:2">
      <c r="A38" s="15" t="s">
        <v>320</v>
      </c>
      <c r="B38" s="2">
        <v>169791</v>
      </c>
    </row>
    <row r="39" spans="1:2">
      <c r="A39" s="15" t="s">
        <v>178</v>
      </c>
      <c r="B39" s="2">
        <v>166583</v>
      </c>
    </row>
    <row r="40" spans="1:2">
      <c r="A40" s="12" t="s">
        <v>92</v>
      </c>
      <c r="B40" s="2">
        <v>154662</v>
      </c>
    </row>
    <row r="41" spans="1:2">
      <c r="A41" s="15" t="s">
        <v>279</v>
      </c>
      <c r="B41" s="2">
        <v>154368</v>
      </c>
    </row>
    <row r="42" spans="1:2">
      <c r="A42" s="15" t="s">
        <v>23</v>
      </c>
      <c r="B42" s="2">
        <v>153061</v>
      </c>
    </row>
    <row r="43" spans="1:2">
      <c r="A43" s="15" t="s">
        <v>269</v>
      </c>
      <c r="B43" s="2">
        <v>145018</v>
      </c>
    </row>
    <row r="44" spans="1:2">
      <c r="A44" s="15" t="s">
        <v>157</v>
      </c>
      <c r="B44" s="2">
        <v>141645</v>
      </c>
    </row>
    <row r="45" spans="1:2">
      <c r="A45" s="12" t="s">
        <v>307</v>
      </c>
      <c r="B45" s="2">
        <v>140456</v>
      </c>
    </row>
    <row r="46" spans="1:2">
      <c r="A46" s="15" t="s">
        <v>187</v>
      </c>
      <c r="B46" s="2">
        <v>129787</v>
      </c>
    </row>
    <row r="47" spans="1:2">
      <c r="A47" s="12" t="s">
        <v>153</v>
      </c>
      <c r="B47" s="2">
        <v>129149</v>
      </c>
    </row>
    <row r="48" spans="1:2">
      <c r="A48" s="12" t="s">
        <v>68</v>
      </c>
      <c r="B48" s="2">
        <v>122944</v>
      </c>
    </row>
    <row r="49" spans="1:2">
      <c r="A49" s="12" t="s">
        <v>20</v>
      </c>
      <c r="B49" s="2">
        <v>122857</v>
      </c>
    </row>
    <row r="50" spans="1:2">
      <c r="A50" s="15" t="s">
        <v>54</v>
      </c>
      <c r="B50" s="2">
        <v>120460</v>
      </c>
    </row>
    <row r="51" spans="1:2">
      <c r="A51" s="15" t="s">
        <v>143</v>
      </c>
      <c r="B51" s="2">
        <v>111557</v>
      </c>
    </row>
    <row r="52" spans="1:2">
      <c r="A52" s="15" t="s">
        <v>429</v>
      </c>
      <c r="B52" s="2">
        <v>110593</v>
      </c>
    </row>
    <row r="53" spans="1:2">
      <c r="A53" s="15" t="s">
        <v>175</v>
      </c>
      <c r="B53" s="2">
        <v>107475</v>
      </c>
    </row>
    <row r="54" spans="1:2">
      <c r="A54" s="15" t="s">
        <v>251</v>
      </c>
      <c r="B54" s="2">
        <v>106599</v>
      </c>
    </row>
    <row r="55" spans="1:2">
      <c r="A55" s="15" t="s">
        <v>163</v>
      </c>
      <c r="B55" s="2">
        <v>104686</v>
      </c>
    </row>
    <row r="56" spans="1:2">
      <c r="A56" s="15" t="s">
        <v>330</v>
      </c>
      <c r="B56" s="2">
        <v>104074</v>
      </c>
    </row>
    <row r="57" spans="1:2">
      <c r="A57" s="12" t="s">
        <v>191</v>
      </c>
      <c r="B57" s="2">
        <v>99973</v>
      </c>
    </row>
    <row r="58" spans="1:2">
      <c r="A58" s="15" t="s">
        <v>35</v>
      </c>
      <c r="B58" s="2">
        <v>93267</v>
      </c>
    </row>
    <row r="59" spans="1:2">
      <c r="A59" s="15" t="s">
        <v>21</v>
      </c>
      <c r="B59" s="2">
        <v>91254</v>
      </c>
    </row>
    <row r="60" spans="1:2">
      <c r="A60" s="12" t="s">
        <v>77</v>
      </c>
      <c r="B60" s="2">
        <v>90746</v>
      </c>
    </row>
    <row r="61" spans="1:2">
      <c r="A61" s="12" t="s">
        <v>217</v>
      </c>
      <c r="B61" s="2">
        <f>87161+1336</f>
        <v>88497</v>
      </c>
    </row>
    <row r="62" spans="1:2">
      <c r="A62" s="15" t="s">
        <v>71</v>
      </c>
      <c r="B62" s="2">
        <v>86483</v>
      </c>
    </row>
    <row r="63" spans="1:2">
      <c r="A63" s="15" t="s">
        <v>154</v>
      </c>
      <c r="B63" s="2">
        <v>81026</v>
      </c>
    </row>
    <row r="64" spans="1:2">
      <c r="A64" s="15" t="s">
        <v>326</v>
      </c>
      <c r="B64" s="2">
        <v>80214</v>
      </c>
    </row>
    <row r="65" spans="1:2">
      <c r="A65" s="15" t="s">
        <v>205</v>
      </c>
      <c r="B65" s="2">
        <v>65035</v>
      </c>
    </row>
    <row r="66" spans="1:2">
      <c r="A66" s="15" t="s">
        <v>135</v>
      </c>
      <c r="B66" s="10">
        <v>62813</v>
      </c>
    </row>
    <row r="67" spans="1:2">
      <c r="A67" s="15" t="s">
        <v>231</v>
      </c>
      <c r="B67" s="2">
        <v>59511</v>
      </c>
    </row>
    <row r="68" spans="1:2">
      <c r="A68" s="15" t="s">
        <v>283</v>
      </c>
      <c r="B68" s="2">
        <v>58870</v>
      </c>
    </row>
    <row r="69" spans="1:2">
      <c r="A69" s="15" t="s">
        <v>237</v>
      </c>
      <c r="B69" s="2">
        <v>56240</v>
      </c>
    </row>
    <row r="70" spans="1:2">
      <c r="A70" s="12" t="s">
        <v>84</v>
      </c>
      <c r="B70" s="2">
        <v>56046</v>
      </c>
    </row>
    <row r="71" spans="1:2">
      <c r="A71" s="15" t="s">
        <v>258</v>
      </c>
      <c r="B71" s="2">
        <v>54739</v>
      </c>
    </row>
    <row r="72" spans="1:2">
      <c r="A72" s="12" t="s">
        <v>213</v>
      </c>
      <c r="B72" s="2">
        <f>15565+38152</f>
        <v>53717</v>
      </c>
    </row>
    <row r="73" spans="1:2">
      <c r="A73" s="15" t="s">
        <v>318</v>
      </c>
      <c r="B73" s="2">
        <v>51572</v>
      </c>
    </row>
    <row r="74" spans="1:2">
      <c r="A74" s="15" t="s">
        <v>242</v>
      </c>
      <c r="B74" s="2">
        <v>50945</v>
      </c>
    </row>
    <row r="75" spans="1:2">
      <c r="A75" s="15" t="s">
        <v>290</v>
      </c>
      <c r="B75" s="2">
        <v>50333</v>
      </c>
    </row>
    <row r="76" spans="1:2">
      <c r="A76" s="15" t="s">
        <v>133</v>
      </c>
      <c r="B76" s="2">
        <v>49850</v>
      </c>
    </row>
    <row r="77" spans="1:2">
      <c r="A77" s="12" t="s">
        <v>200</v>
      </c>
      <c r="B77" s="2">
        <v>47342</v>
      </c>
    </row>
    <row r="78" spans="1:2">
      <c r="A78" s="12" t="s">
        <v>149</v>
      </c>
      <c r="B78" s="2">
        <v>47250</v>
      </c>
    </row>
    <row r="79" spans="1:2">
      <c r="A79" s="15" t="s">
        <v>184</v>
      </c>
      <c r="B79" s="2">
        <v>46121</v>
      </c>
    </row>
    <row r="80" spans="1:2">
      <c r="A80" s="15" t="s">
        <v>27</v>
      </c>
      <c r="B80" s="2">
        <v>40780</v>
      </c>
    </row>
    <row r="81" spans="1:2">
      <c r="A81" s="15" t="s">
        <v>112</v>
      </c>
      <c r="B81" s="2">
        <v>40343</v>
      </c>
    </row>
    <row r="82" spans="1:2">
      <c r="A82" s="15" t="s">
        <v>183</v>
      </c>
      <c r="B82" s="2">
        <v>38935</v>
      </c>
    </row>
    <row r="83" spans="1:2">
      <c r="A83" s="15" t="s">
        <v>44</v>
      </c>
      <c r="B83" s="2">
        <v>36358</v>
      </c>
    </row>
    <row r="84" spans="1:2">
      <c r="A84" s="15" t="s">
        <v>106</v>
      </c>
      <c r="B84" s="2">
        <v>36154</v>
      </c>
    </row>
    <row r="85" spans="1:2">
      <c r="A85" s="15" t="s">
        <v>40</v>
      </c>
      <c r="B85" s="2">
        <v>36128</v>
      </c>
    </row>
    <row r="86" spans="1:2">
      <c r="A86" s="15" t="s">
        <v>161</v>
      </c>
      <c r="B86" s="10">
        <v>33330</v>
      </c>
    </row>
    <row r="87" spans="1:2">
      <c r="A87" s="15" t="s">
        <v>33</v>
      </c>
      <c r="B87" s="2">
        <v>32715</v>
      </c>
    </row>
    <row r="88" spans="1:2">
      <c r="A88" s="15" t="s">
        <v>203</v>
      </c>
      <c r="B88" s="2">
        <v>32146</v>
      </c>
    </row>
    <row r="89" spans="1:2">
      <c r="A89" s="15" t="s">
        <v>42</v>
      </c>
      <c r="B89" s="2">
        <v>31978</v>
      </c>
    </row>
    <row r="90" spans="1:2">
      <c r="A90" s="15" t="s">
        <v>260</v>
      </c>
      <c r="B90" s="2">
        <v>31825</v>
      </c>
    </row>
    <row r="91" spans="1:2">
      <c r="A91" s="15" t="s">
        <v>145</v>
      </c>
      <c r="B91" s="2">
        <v>31394</v>
      </c>
    </row>
    <row r="92" spans="1:2">
      <c r="A92" s="15" t="s">
        <v>288</v>
      </c>
      <c r="B92" s="2">
        <v>31201</v>
      </c>
    </row>
    <row r="93" spans="1:2">
      <c r="A93" s="15" t="s">
        <v>193</v>
      </c>
      <c r="B93" s="2">
        <v>29183</v>
      </c>
    </row>
    <row r="94" spans="1:2">
      <c r="A94" s="15" t="s">
        <v>137</v>
      </c>
      <c r="B94" s="2">
        <v>28713</v>
      </c>
    </row>
    <row r="95" spans="1:2">
      <c r="A95" s="15" t="s">
        <v>123</v>
      </c>
      <c r="B95" s="2">
        <v>28221</v>
      </c>
    </row>
    <row r="96" spans="1:2">
      <c r="A96" s="15" t="s">
        <v>141</v>
      </c>
      <c r="B96" s="2">
        <v>26642</v>
      </c>
    </row>
    <row r="97" spans="1:2">
      <c r="A97" s="15" t="s">
        <v>342</v>
      </c>
      <c r="B97" s="2">
        <v>26063</v>
      </c>
    </row>
    <row r="98" spans="1:2">
      <c r="A98" s="12" t="s">
        <v>75</v>
      </c>
      <c r="B98" s="2">
        <v>25979</v>
      </c>
    </row>
    <row r="99" spans="1:2">
      <c r="A99" s="15" t="s">
        <v>181</v>
      </c>
      <c r="B99" s="2">
        <v>25799</v>
      </c>
    </row>
    <row r="100" spans="1:2">
      <c r="A100" s="15" t="s">
        <v>25</v>
      </c>
      <c r="B100" s="2">
        <v>25351</v>
      </c>
    </row>
    <row r="101" spans="1:2">
      <c r="A101" s="15" t="s">
        <v>108</v>
      </c>
      <c r="B101" s="2">
        <v>25026</v>
      </c>
    </row>
    <row r="102" spans="1:2">
      <c r="A102" s="15" t="s">
        <v>253</v>
      </c>
      <c r="B102" s="2">
        <v>24638</v>
      </c>
    </row>
    <row r="103" spans="1:2">
      <c r="A103" s="15" t="s">
        <v>277</v>
      </c>
      <c r="B103" s="2">
        <v>24492</v>
      </c>
    </row>
    <row r="104" spans="1:2">
      <c r="A104" s="15" t="s">
        <v>121</v>
      </c>
      <c r="B104" s="2">
        <v>24303</v>
      </c>
    </row>
    <row r="105" spans="1:2">
      <c r="A105" s="15" t="s">
        <v>209</v>
      </c>
      <c r="B105" s="2">
        <v>24009</v>
      </c>
    </row>
    <row r="106" spans="1:2">
      <c r="A106" s="15" t="s">
        <v>233</v>
      </c>
      <c r="B106" s="2">
        <v>23974</v>
      </c>
    </row>
    <row r="107" spans="1:2">
      <c r="A107" s="15" t="s">
        <v>347</v>
      </c>
      <c r="B107" s="2">
        <v>23755</v>
      </c>
    </row>
    <row r="108" spans="1:2">
      <c r="A108" s="15" t="s">
        <v>120</v>
      </c>
      <c r="B108" s="2">
        <v>22699</v>
      </c>
    </row>
    <row r="109" spans="1:2">
      <c r="A109" s="12" t="s">
        <v>215</v>
      </c>
      <c r="B109" s="2">
        <v>21947</v>
      </c>
    </row>
    <row r="110" spans="1:2">
      <c r="A110" s="15" t="s">
        <v>281</v>
      </c>
      <c r="B110" s="2">
        <v>21708</v>
      </c>
    </row>
    <row r="111" spans="1:2">
      <c r="A111" s="12" t="s">
        <v>90</v>
      </c>
      <c r="B111" s="2">
        <v>20322</v>
      </c>
    </row>
    <row r="112" spans="1:2">
      <c r="A112" s="12" t="s">
        <v>86</v>
      </c>
      <c r="B112" s="2">
        <v>19852</v>
      </c>
    </row>
    <row r="113" spans="1:2">
      <c r="A113" s="15" t="s">
        <v>53</v>
      </c>
      <c r="B113" s="2">
        <v>19813</v>
      </c>
    </row>
    <row r="114" spans="1:2">
      <c r="A114" s="15" t="s">
        <v>56</v>
      </c>
      <c r="B114" s="2">
        <v>19386</v>
      </c>
    </row>
    <row r="115" spans="1:2">
      <c r="A115" s="15" t="s">
        <v>100</v>
      </c>
      <c r="B115" s="2">
        <v>19258</v>
      </c>
    </row>
    <row r="116" spans="1:2">
      <c r="A116" s="15" t="s">
        <v>104</v>
      </c>
      <c r="B116" s="2">
        <v>19053</v>
      </c>
    </row>
    <row r="117" spans="1:2">
      <c r="A117" s="12" t="s">
        <v>336</v>
      </c>
      <c r="B117" s="2">
        <v>17749</v>
      </c>
    </row>
    <row r="118" spans="1:2">
      <c r="A118" s="15" t="s">
        <v>340</v>
      </c>
      <c r="B118" s="2">
        <v>14435</v>
      </c>
    </row>
    <row r="119" spans="1:2">
      <c r="A119" s="15" t="s">
        <v>179</v>
      </c>
      <c r="B119" s="2">
        <v>13837</v>
      </c>
    </row>
    <row r="120" spans="1:2">
      <c r="A120" s="2" t="s">
        <v>98</v>
      </c>
      <c r="B120" s="2">
        <v>13506</v>
      </c>
    </row>
    <row r="121" spans="1:2">
      <c r="A121" s="15" t="s">
        <v>102</v>
      </c>
      <c r="B121" s="2">
        <v>13312</v>
      </c>
    </row>
    <row r="122" spans="1:2">
      <c r="A122" s="12" t="s">
        <v>80</v>
      </c>
      <c r="B122" s="2">
        <v>13222</v>
      </c>
    </row>
    <row r="123" spans="1:2">
      <c r="A123" s="12" t="s">
        <v>88</v>
      </c>
      <c r="B123" s="2">
        <v>11897</v>
      </c>
    </row>
    <row r="124" spans="1:2">
      <c r="A124" s="15" t="s">
        <v>127</v>
      </c>
      <c r="B124" s="2">
        <v>11870</v>
      </c>
    </row>
    <row r="125" spans="1:2">
      <c r="A125" s="15" t="s">
        <v>195</v>
      </c>
      <c r="B125" s="2">
        <v>11299</v>
      </c>
    </row>
    <row r="126" spans="1:2">
      <c r="A126" s="15" t="s">
        <v>343</v>
      </c>
      <c r="B126" s="2">
        <v>10889</v>
      </c>
    </row>
    <row r="127" spans="1:2">
      <c r="A127" s="12" t="s">
        <v>338</v>
      </c>
      <c r="B127" s="2">
        <v>10492</v>
      </c>
    </row>
    <row r="128" spans="1:2">
      <c r="A128" s="12" t="s">
        <v>223</v>
      </c>
      <c r="B128" s="2">
        <v>9115</v>
      </c>
    </row>
    <row r="129" spans="1:2">
      <c r="A129" s="15" t="s">
        <v>147</v>
      </c>
      <c r="B129" s="2">
        <v>8983</v>
      </c>
    </row>
    <row r="130" spans="1:2">
      <c r="A130" s="15" t="s">
        <v>72</v>
      </c>
      <c r="B130" s="2">
        <v>8146</v>
      </c>
    </row>
    <row r="131" spans="1:2">
      <c r="A131" s="12" t="s">
        <v>221</v>
      </c>
      <c r="B131" s="2">
        <v>6702</v>
      </c>
    </row>
    <row r="132" spans="1:2">
      <c r="A132" s="15" t="s">
        <v>73</v>
      </c>
      <c r="B132" s="2">
        <v>6514</v>
      </c>
    </row>
    <row r="133" spans="1:2">
      <c r="A133" s="15" t="s">
        <v>317</v>
      </c>
      <c r="B133" s="2">
        <v>6006</v>
      </c>
    </row>
    <row r="134" spans="1:2">
      <c r="A134" s="15" t="s">
        <v>129</v>
      </c>
      <c r="B134" s="2">
        <v>5680</v>
      </c>
    </row>
    <row r="135" spans="1:2">
      <c r="A135" s="15" t="s">
        <v>176</v>
      </c>
      <c r="B135" s="2">
        <v>5442</v>
      </c>
    </row>
    <row r="136" spans="1:2">
      <c r="A136" s="15" t="s">
        <v>322</v>
      </c>
      <c r="B136" s="2">
        <v>4084</v>
      </c>
    </row>
    <row r="137" spans="1:2">
      <c r="A137" s="15" t="s">
        <v>37</v>
      </c>
      <c r="B137" s="2">
        <v>3155</v>
      </c>
    </row>
    <row r="138" spans="1:2">
      <c r="A138" s="15" t="s">
        <v>51</v>
      </c>
      <c r="B138" s="2">
        <v>3130</v>
      </c>
    </row>
    <row r="139" spans="1:2">
      <c r="A139" s="15" t="s">
        <v>292</v>
      </c>
      <c r="B139" s="2">
        <v>2974</v>
      </c>
    </row>
    <row r="140" spans="1:2">
      <c r="A140" s="15" t="s">
        <v>150</v>
      </c>
      <c r="B140" s="2">
        <v>2959</v>
      </c>
    </row>
    <row r="141" spans="1:2">
      <c r="A141" s="15" t="s">
        <v>139</v>
      </c>
      <c r="B141" s="2">
        <v>2949</v>
      </c>
    </row>
    <row r="142" spans="1:2">
      <c r="A142" s="15" t="s">
        <v>286</v>
      </c>
      <c r="B142" s="2">
        <v>2415</v>
      </c>
    </row>
    <row r="143" spans="1:2">
      <c r="A143" s="15" t="s">
        <v>29</v>
      </c>
      <c r="B143" s="2">
        <v>2156</v>
      </c>
    </row>
    <row r="144" spans="1:2">
      <c r="A144" s="12" t="s">
        <v>82</v>
      </c>
      <c r="B144" s="2">
        <v>1728</v>
      </c>
    </row>
    <row r="145" spans="1:2">
      <c r="A145" s="15" t="s">
        <v>247</v>
      </c>
      <c r="B145" s="2">
        <v>1633</v>
      </c>
    </row>
    <row r="146" spans="1:2">
      <c r="A146" s="15" t="s">
        <v>173</v>
      </c>
      <c r="B146" s="2">
        <v>1291</v>
      </c>
    </row>
    <row r="147" spans="1:2">
      <c r="A147" s="12" t="s">
        <v>198</v>
      </c>
      <c r="B147" s="2">
        <v>1159</v>
      </c>
    </row>
    <row r="148" spans="1:2">
      <c r="A148" s="15" t="s">
        <v>334</v>
      </c>
      <c r="B148" s="2">
        <v>954</v>
      </c>
    </row>
    <row r="149" spans="1:2">
      <c r="A149" s="15" t="s">
        <v>211</v>
      </c>
      <c r="B149" s="2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workbookViewId="0">
      <selection activeCell="G36" sqref="G36"/>
    </sheetView>
  </sheetViews>
  <sheetFormatPr defaultColWidth="9.109375" defaultRowHeight="13.2"/>
  <cols>
    <col min="1" max="1" width="22.5546875" style="28" customWidth="1"/>
    <col min="2" max="2" width="10.5546875" style="29" customWidth="1"/>
    <col min="3" max="3" width="2.6640625" style="30" customWidth="1"/>
    <col min="4" max="4" width="17.109375" style="28" customWidth="1"/>
    <col min="5" max="5" width="9.109375" style="28"/>
    <col min="6" max="6" width="2.88671875" style="28" customWidth="1"/>
    <col min="7" max="7" width="22.109375" style="28" customWidth="1"/>
    <col min="8" max="8" width="9.109375" style="28"/>
    <col min="9" max="9" width="2.6640625" style="28" customWidth="1"/>
    <col min="10" max="10" width="17.6640625" style="28" customWidth="1"/>
    <col min="11" max="16384" width="9.109375" style="28"/>
  </cols>
  <sheetData>
    <row r="1" spans="1:11" ht="30">
      <c r="A1" s="159" t="s">
        <v>430</v>
      </c>
      <c r="B1" s="159"/>
      <c r="C1" s="159"/>
      <c r="D1" s="159"/>
      <c r="E1" s="159"/>
      <c r="F1" s="159"/>
      <c r="G1" s="159"/>
      <c r="H1" s="159"/>
      <c r="I1" s="159"/>
      <c r="J1" s="159"/>
      <c r="K1" s="157"/>
    </row>
    <row r="2" spans="1:11" s="1" customFormat="1" ht="7.5" customHeight="1">
      <c r="B2" s="28"/>
      <c r="E2" s="28"/>
      <c r="H2" s="28"/>
    </row>
    <row r="3" spans="1:11" ht="20.399999999999999">
      <c r="A3" s="169" t="s">
        <v>385</v>
      </c>
      <c r="B3" s="169"/>
      <c r="C3" s="36"/>
      <c r="D3" s="169" t="s">
        <v>386</v>
      </c>
      <c r="E3" s="169"/>
      <c r="F3" s="36"/>
      <c r="G3" s="169" t="s">
        <v>387</v>
      </c>
      <c r="H3" s="169"/>
      <c r="I3" s="36"/>
      <c r="J3" s="169" t="s">
        <v>388</v>
      </c>
      <c r="K3" s="169"/>
    </row>
    <row r="4" spans="1:11" s="1" customFormat="1" ht="7.5" customHeight="1">
      <c r="B4" s="28"/>
      <c r="E4" s="28"/>
      <c r="H4" s="28"/>
    </row>
    <row r="5" spans="1:11" ht="11.25" customHeight="1">
      <c r="A5" s="158" t="s">
        <v>389</v>
      </c>
      <c r="B5" s="55" t="s">
        <v>432</v>
      </c>
      <c r="C5" s="28"/>
      <c r="D5" s="158" t="s">
        <v>389</v>
      </c>
      <c r="E5" s="55" t="s">
        <v>432</v>
      </c>
      <c r="G5" s="158" t="s">
        <v>389</v>
      </c>
      <c r="H5" s="55" t="s">
        <v>432</v>
      </c>
      <c r="J5" s="158" t="s">
        <v>389</v>
      </c>
      <c r="K5" s="55" t="s">
        <v>432</v>
      </c>
    </row>
    <row r="6" spans="1:11" s="1" customFormat="1" ht="12" customHeight="1">
      <c r="A6" s="12" t="s">
        <v>115</v>
      </c>
      <c r="B6" s="153">
        <v>2612305</v>
      </c>
      <c r="D6" s="15" t="s">
        <v>112</v>
      </c>
      <c r="E6" s="153">
        <v>246102</v>
      </c>
      <c r="G6" s="15" t="s">
        <v>209</v>
      </c>
      <c r="H6" s="153">
        <v>44443</v>
      </c>
      <c r="J6" s="12" t="s">
        <v>90</v>
      </c>
      <c r="K6" s="153">
        <v>8957</v>
      </c>
    </row>
    <row r="7" spans="1:11" s="1" customFormat="1" ht="12" customHeight="1">
      <c r="A7" s="15" t="s">
        <v>345</v>
      </c>
      <c r="B7" s="153">
        <v>1597048</v>
      </c>
      <c r="D7" s="15" t="s">
        <v>242</v>
      </c>
      <c r="E7" s="153">
        <v>242080</v>
      </c>
      <c r="G7" s="15" t="s">
        <v>56</v>
      </c>
      <c r="H7" s="153">
        <v>44283</v>
      </c>
      <c r="J7" s="15" t="s">
        <v>118</v>
      </c>
      <c r="K7" s="153">
        <v>7976</v>
      </c>
    </row>
    <row r="8" spans="1:11" s="1" customFormat="1" ht="12" customHeight="1">
      <c r="A8" s="15" t="s">
        <v>303</v>
      </c>
      <c r="B8" s="153">
        <v>1584291</v>
      </c>
      <c r="D8" s="15" t="s">
        <v>231</v>
      </c>
      <c r="E8" s="153">
        <v>241188</v>
      </c>
      <c r="G8" s="15" t="s">
        <v>159</v>
      </c>
      <c r="H8" s="153">
        <v>38546</v>
      </c>
      <c r="J8" s="15" t="s">
        <v>253</v>
      </c>
      <c r="K8" s="153">
        <v>7965</v>
      </c>
    </row>
    <row r="9" spans="1:11" s="1" customFormat="1" ht="12" customHeight="1">
      <c r="A9" s="15" t="s">
        <v>46</v>
      </c>
      <c r="B9" s="153">
        <v>1450608</v>
      </c>
      <c r="D9" s="12" t="s">
        <v>217</v>
      </c>
      <c r="E9" s="153">
        <v>219190</v>
      </c>
      <c r="G9" s="15" t="s">
        <v>133</v>
      </c>
      <c r="H9" s="153">
        <v>35495</v>
      </c>
      <c r="J9" s="15" t="s">
        <v>343</v>
      </c>
      <c r="K9" s="153">
        <v>7662</v>
      </c>
    </row>
    <row r="10" spans="1:11" s="1" customFormat="1" ht="12" customHeight="1">
      <c r="A10" s="12" t="s">
        <v>59</v>
      </c>
      <c r="B10" s="153">
        <f>583652+809031</f>
        <v>1392683</v>
      </c>
      <c r="D10" s="15" t="s">
        <v>245</v>
      </c>
      <c r="E10" s="153">
        <v>212753</v>
      </c>
      <c r="G10" s="15" t="s">
        <v>283</v>
      </c>
      <c r="H10" s="153">
        <v>32263</v>
      </c>
      <c r="J10" s="15" t="s">
        <v>147</v>
      </c>
      <c r="K10" s="153">
        <v>6281</v>
      </c>
    </row>
    <row r="11" spans="1:11" s="1" customFormat="1" ht="12" customHeight="1">
      <c r="A11" s="15" t="s">
        <v>54</v>
      </c>
      <c r="B11" s="153">
        <v>1112642</v>
      </c>
      <c r="D11" s="15" t="s">
        <v>163</v>
      </c>
      <c r="E11" s="153">
        <v>208089</v>
      </c>
      <c r="G11" s="15" t="s">
        <v>288</v>
      </c>
      <c r="H11" s="153">
        <v>31134</v>
      </c>
      <c r="J11" s="15" t="s">
        <v>108</v>
      </c>
      <c r="K11" s="153">
        <v>6073</v>
      </c>
    </row>
    <row r="12" spans="1:11" s="1" customFormat="1" ht="12" customHeight="1">
      <c r="A12" s="15" t="s">
        <v>305</v>
      </c>
      <c r="B12" s="153">
        <v>977389</v>
      </c>
      <c r="D12" s="15" t="s">
        <v>311</v>
      </c>
      <c r="E12" s="153">
        <v>205388</v>
      </c>
      <c r="G12" s="15" t="s">
        <v>183</v>
      </c>
      <c r="H12" s="153">
        <v>30904</v>
      </c>
      <c r="J12" s="15" t="s">
        <v>123</v>
      </c>
      <c r="K12" s="153">
        <v>5371</v>
      </c>
    </row>
    <row r="13" spans="1:11" s="1" customFormat="1" ht="12" customHeight="1">
      <c r="A13" s="15" t="s">
        <v>273</v>
      </c>
      <c r="B13" s="153">
        <v>905402</v>
      </c>
      <c r="D13" s="15" t="s">
        <v>175</v>
      </c>
      <c r="E13" s="153">
        <v>195842</v>
      </c>
      <c r="G13" s="15" t="s">
        <v>129</v>
      </c>
      <c r="H13" s="153">
        <v>30690</v>
      </c>
      <c r="J13" s="12" t="s">
        <v>86</v>
      </c>
      <c r="K13" s="153">
        <v>5118</v>
      </c>
    </row>
    <row r="14" spans="1:11" s="1" customFormat="1" ht="12" customHeight="1">
      <c r="A14" s="15" t="s">
        <v>189</v>
      </c>
      <c r="B14" s="153">
        <v>847060</v>
      </c>
      <c r="D14" s="15" t="s">
        <v>315</v>
      </c>
      <c r="E14" s="153">
        <v>184131</v>
      </c>
      <c r="G14" s="15" t="s">
        <v>264</v>
      </c>
      <c r="H14" s="153">
        <v>30065</v>
      </c>
      <c r="J14" s="15" t="s">
        <v>260</v>
      </c>
      <c r="K14" s="155">
        <v>4445</v>
      </c>
    </row>
    <row r="15" spans="1:11" s="1" customFormat="1" ht="12" customHeight="1">
      <c r="A15" s="12" t="s">
        <v>77</v>
      </c>
      <c r="B15" s="153">
        <v>824191</v>
      </c>
      <c r="D15" s="15" t="s">
        <v>65</v>
      </c>
      <c r="E15" s="153">
        <v>179146</v>
      </c>
      <c r="G15" s="15" t="s">
        <v>53</v>
      </c>
      <c r="H15" s="153">
        <v>29890</v>
      </c>
      <c r="J15" s="15" t="s">
        <v>37</v>
      </c>
      <c r="K15" s="153">
        <v>2879</v>
      </c>
    </row>
    <row r="16" spans="1:11" s="1" customFormat="1" ht="12" customHeight="1">
      <c r="A16" s="15" t="s">
        <v>313</v>
      </c>
      <c r="B16" s="153">
        <v>789538</v>
      </c>
      <c r="D16" s="15" t="s">
        <v>131</v>
      </c>
      <c r="E16" s="153">
        <v>173598</v>
      </c>
      <c r="G16" s="15" t="s">
        <v>120</v>
      </c>
      <c r="H16" s="153">
        <v>29621</v>
      </c>
      <c r="J16" s="12" t="s">
        <v>84</v>
      </c>
      <c r="K16" s="153">
        <v>2670</v>
      </c>
    </row>
    <row r="17" spans="1:11" s="1" customFormat="1" ht="12" customHeight="1">
      <c r="A17" s="15" t="s">
        <v>169</v>
      </c>
      <c r="B17" s="153">
        <v>738973</v>
      </c>
      <c r="D17" s="12" t="s">
        <v>20</v>
      </c>
      <c r="E17" s="153">
        <v>169480</v>
      </c>
      <c r="G17" s="12" t="s">
        <v>75</v>
      </c>
      <c r="H17" s="153">
        <v>28189</v>
      </c>
      <c r="J17" s="15" t="s">
        <v>179</v>
      </c>
      <c r="K17" s="153">
        <v>2347</v>
      </c>
    </row>
    <row r="18" spans="1:11" s="1" customFormat="1" ht="12" customHeight="1">
      <c r="A18" s="15" t="s">
        <v>249</v>
      </c>
      <c r="B18" s="153">
        <v>736456</v>
      </c>
      <c r="D18" s="15" t="s">
        <v>255</v>
      </c>
      <c r="E18" s="153">
        <f>73939+82500</f>
        <v>156439</v>
      </c>
      <c r="G18" s="15" t="s">
        <v>100</v>
      </c>
      <c r="H18" s="153">
        <v>26812</v>
      </c>
      <c r="J18" s="15" t="s">
        <v>340</v>
      </c>
      <c r="K18" s="153">
        <v>2228</v>
      </c>
    </row>
    <row r="19" spans="1:11" s="1" customFormat="1" ht="12" customHeight="1">
      <c r="A19" s="15" t="s">
        <v>324</v>
      </c>
      <c r="B19" s="153">
        <v>710981</v>
      </c>
      <c r="D19" s="15" t="s">
        <v>330</v>
      </c>
      <c r="E19" s="153">
        <v>150291</v>
      </c>
      <c r="G19" s="15" t="s">
        <v>104</v>
      </c>
      <c r="H19" s="153">
        <v>23500</v>
      </c>
      <c r="J19" s="15" t="s">
        <v>41</v>
      </c>
      <c r="K19" s="153">
        <v>1911</v>
      </c>
    </row>
    <row r="20" spans="1:11" s="1" customFormat="1" ht="12" customHeight="1">
      <c r="A20" s="15" t="s">
        <v>50</v>
      </c>
      <c r="B20" s="153">
        <v>690183</v>
      </c>
      <c r="D20" s="12" t="s">
        <v>149</v>
      </c>
      <c r="E20" s="153">
        <v>144729</v>
      </c>
      <c r="G20" s="15" t="s">
        <v>42</v>
      </c>
      <c r="H20" s="153">
        <v>22486</v>
      </c>
      <c r="J20" s="15" t="s">
        <v>301</v>
      </c>
      <c r="K20" s="153">
        <v>1600</v>
      </c>
    </row>
    <row r="21" spans="1:11" s="1" customFormat="1" ht="12" customHeight="1">
      <c r="A21" s="15" t="s">
        <v>207</v>
      </c>
      <c r="B21" s="153">
        <v>650941</v>
      </c>
      <c r="D21" s="12" t="s">
        <v>200</v>
      </c>
      <c r="E21" s="153">
        <v>140237</v>
      </c>
      <c r="G21" s="15" t="s">
        <v>277</v>
      </c>
      <c r="H21" s="153">
        <v>21741</v>
      </c>
      <c r="J21" s="15" t="s">
        <v>29</v>
      </c>
      <c r="K21" s="153">
        <v>1113</v>
      </c>
    </row>
    <row r="22" spans="1:11" s="1" customFormat="1" ht="12" customHeight="1">
      <c r="A22" s="15" t="s">
        <v>110</v>
      </c>
      <c r="B22" s="153">
        <v>620782</v>
      </c>
      <c r="D22" s="15" t="s">
        <v>125</v>
      </c>
      <c r="E22" s="153">
        <v>138085</v>
      </c>
      <c r="G22" s="15" t="s">
        <v>233</v>
      </c>
      <c r="H22" s="153">
        <v>21143</v>
      </c>
      <c r="J22" s="15" t="s">
        <v>243</v>
      </c>
      <c r="K22" s="153">
        <v>970</v>
      </c>
    </row>
    <row r="23" spans="1:11" s="1" customFormat="1" ht="12" customHeight="1">
      <c r="A23" s="15" t="s">
        <v>320</v>
      </c>
      <c r="B23" s="153">
        <v>606319</v>
      </c>
      <c r="D23" s="15" t="s">
        <v>71</v>
      </c>
      <c r="E23" s="153">
        <v>136269</v>
      </c>
      <c r="G23" s="15" t="s">
        <v>121</v>
      </c>
      <c r="H23" s="153">
        <v>20935</v>
      </c>
      <c r="J23" s="15" t="s">
        <v>139</v>
      </c>
      <c r="K23" s="153">
        <v>739</v>
      </c>
    </row>
    <row r="24" spans="1:11" s="1" customFormat="1" ht="12" customHeight="1">
      <c r="A24" s="15" t="s">
        <v>332</v>
      </c>
      <c r="B24" s="153">
        <v>544842</v>
      </c>
      <c r="D24" s="15" t="s">
        <v>258</v>
      </c>
      <c r="E24" s="153">
        <v>133577</v>
      </c>
      <c r="G24" s="15" t="s">
        <v>106</v>
      </c>
      <c r="H24" s="153">
        <v>19970</v>
      </c>
      <c r="J24" s="15" t="s">
        <v>72</v>
      </c>
      <c r="K24" s="153">
        <v>713</v>
      </c>
    </row>
    <row r="25" spans="1:11" s="1" customFormat="1" ht="12" customHeight="1">
      <c r="A25" s="74" t="s">
        <v>279</v>
      </c>
      <c r="B25" s="154">
        <v>541306</v>
      </c>
      <c r="D25" s="15" t="s">
        <v>187</v>
      </c>
      <c r="E25" s="153">
        <v>126318</v>
      </c>
      <c r="G25" s="15" t="s">
        <v>44</v>
      </c>
      <c r="H25" s="153">
        <v>19258</v>
      </c>
      <c r="J25" s="15" t="s">
        <v>193</v>
      </c>
      <c r="K25" s="153">
        <v>395</v>
      </c>
    </row>
    <row r="26" spans="1:11" s="1" customFormat="1" ht="12" customHeight="1">
      <c r="A26" s="12" t="s">
        <v>225</v>
      </c>
      <c r="B26" s="153">
        <v>518403</v>
      </c>
      <c r="D26" s="15" t="s">
        <v>135</v>
      </c>
      <c r="E26" s="153">
        <v>123651</v>
      </c>
      <c r="G26" s="12" t="s">
        <v>80</v>
      </c>
      <c r="H26" s="153">
        <v>18687</v>
      </c>
      <c r="J26" s="15" t="s">
        <v>143</v>
      </c>
      <c r="K26" s="153">
        <v>336</v>
      </c>
    </row>
    <row r="27" spans="1:11" s="1" customFormat="1" ht="12" customHeight="1">
      <c r="A27" s="15" t="s">
        <v>117</v>
      </c>
      <c r="B27" s="153">
        <v>477444</v>
      </c>
      <c r="D27" s="15" t="s">
        <v>290</v>
      </c>
      <c r="E27" s="153">
        <v>122516</v>
      </c>
      <c r="G27" s="15" t="s">
        <v>342</v>
      </c>
      <c r="H27" s="153">
        <v>17788</v>
      </c>
      <c r="J27" s="12" t="s">
        <v>82</v>
      </c>
      <c r="K27" s="153">
        <v>219</v>
      </c>
    </row>
    <row r="28" spans="1:11" s="1" customFormat="1" ht="12" customHeight="1">
      <c r="A28" s="15" t="s">
        <v>326</v>
      </c>
      <c r="B28" s="153">
        <v>475558</v>
      </c>
      <c r="D28" s="15" t="s">
        <v>269</v>
      </c>
      <c r="E28" s="153">
        <v>111085</v>
      </c>
      <c r="G28" s="15" t="s">
        <v>127</v>
      </c>
      <c r="H28" s="153">
        <v>11921</v>
      </c>
      <c r="J28" s="15" t="s">
        <v>309</v>
      </c>
      <c r="K28" s="153">
        <v>150</v>
      </c>
    </row>
    <row r="29" spans="1:11" s="1" customFormat="1" ht="12" customHeight="1">
      <c r="A29" s="15" t="s">
        <v>35</v>
      </c>
      <c r="B29" s="153">
        <v>473477</v>
      </c>
      <c r="D29" s="15" t="s">
        <v>113</v>
      </c>
      <c r="E29" s="153">
        <v>95652</v>
      </c>
      <c r="G29" s="12" t="s">
        <v>215</v>
      </c>
      <c r="H29" s="153">
        <v>11493</v>
      </c>
      <c r="J29" s="12" t="s">
        <v>92</v>
      </c>
      <c r="K29" s="153">
        <v>110</v>
      </c>
    </row>
    <row r="30" spans="1:11" s="1" customFormat="1" ht="12" customHeight="1">
      <c r="A30" s="15" t="s">
        <v>251</v>
      </c>
      <c r="B30" s="153">
        <v>472711</v>
      </c>
      <c r="D30" s="15" t="s">
        <v>181</v>
      </c>
      <c r="E30" s="153">
        <v>92598</v>
      </c>
      <c r="G30" s="12" t="s">
        <v>223</v>
      </c>
      <c r="H30" s="153">
        <v>11470</v>
      </c>
      <c r="J30" s="12" t="s">
        <v>221</v>
      </c>
      <c r="K30" s="153">
        <v>51</v>
      </c>
    </row>
    <row r="31" spans="1:11" s="1" customFormat="1" ht="12" customHeight="1">
      <c r="A31" s="15" t="s">
        <v>235</v>
      </c>
      <c r="B31" s="153">
        <v>465121</v>
      </c>
      <c r="D31" s="12" t="s">
        <v>68</v>
      </c>
      <c r="E31" s="153">
        <v>88927</v>
      </c>
      <c r="G31" s="15" t="s">
        <v>195</v>
      </c>
      <c r="H31" s="153">
        <v>10424</v>
      </c>
      <c r="J31" s="12" t="s">
        <v>88</v>
      </c>
      <c r="K31" s="153">
        <v>30</v>
      </c>
    </row>
    <row r="32" spans="1:11" s="1" customFormat="1" ht="12" customHeight="1">
      <c r="A32" s="15" t="s">
        <v>48</v>
      </c>
      <c r="B32" s="153">
        <v>443507</v>
      </c>
      <c r="D32" s="15" t="s">
        <v>281</v>
      </c>
      <c r="E32" s="153">
        <v>88646</v>
      </c>
      <c r="G32" s="12" t="s">
        <v>307</v>
      </c>
      <c r="H32" s="153">
        <v>10059</v>
      </c>
    </row>
    <row r="33" spans="1:5" s="1" customFormat="1" ht="12" customHeight="1">
      <c r="A33" s="15" t="s">
        <v>63</v>
      </c>
      <c r="B33" s="153">
        <v>442038</v>
      </c>
      <c r="D33" s="15" t="s">
        <v>322</v>
      </c>
      <c r="E33" s="153">
        <v>81579</v>
      </c>
    </row>
    <row r="34" spans="1:5" s="1" customFormat="1" ht="12" customHeight="1">
      <c r="A34" s="12" t="s">
        <v>70</v>
      </c>
      <c r="B34" s="153">
        <v>393329</v>
      </c>
      <c r="D34" s="15" t="s">
        <v>157</v>
      </c>
      <c r="E34" s="153">
        <v>81162</v>
      </c>
    </row>
    <row r="35" spans="1:5" s="1" customFormat="1" ht="12" customHeight="1">
      <c r="A35" s="12" t="s">
        <v>191</v>
      </c>
      <c r="B35" s="153">
        <v>315035</v>
      </c>
      <c r="D35" s="15" t="s">
        <v>178</v>
      </c>
      <c r="E35" s="153">
        <v>80823</v>
      </c>
    </row>
    <row r="36" spans="1:5" s="1" customFormat="1" ht="12" customHeight="1">
      <c r="A36" s="15" t="s">
        <v>240</v>
      </c>
      <c r="B36" s="153">
        <v>313252</v>
      </c>
      <c r="D36" s="15" t="s">
        <v>137</v>
      </c>
      <c r="E36" s="153">
        <v>69820</v>
      </c>
    </row>
    <row r="37" spans="1:5" s="1" customFormat="1" ht="12" customHeight="1">
      <c r="A37" s="12" t="s">
        <v>153</v>
      </c>
      <c r="B37" s="153">
        <v>293847</v>
      </c>
      <c r="D37" s="15" t="s">
        <v>40</v>
      </c>
      <c r="E37" s="153">
        <v>63925</v>
      </c>
    </row>
    <row r="38" spans="1:5" s="1" customFormat="1" ht="12" customHeight="1">
      <c r="A38" s="15" t="s">
        <v>171</v>
      </c>
      <c r="B38" s="153">
        <v>281949</v>
      </c>
      <c r="D38" s="15" t="s">
        <v>33</v>
      </c>
      <c r="E38" s="153">
        <v>63519</v>
      </c>
    </row>
    <row r="39" spans="1:5" s="1" customFormat="1" ht="12" customHeight="1">
      <c r="A39" s="15" t="s">
        <v>23</v>
      </c>
      <c r="B39" s="153">
        <v>256336</v>
      </c>
      <c r="D39" s="15" t="s">
        <v>262</v>
      </c>
      <c r="E39" s="153">
        <v>60312</v>
      </c>
    </row>
    <row r="40" spans="1:5" s="1" customFormat="1" ht="12" customHeight="1">
      <c r="D40" s="15" t="s">
        <v>203</v>
      </c>
      <c r="E40" s="153">
        <v>60044</v>
      </c>
    </row>
    <row r="41" spans="1:5" s="1" customFormat="1" ht="12" customHeight="1">
      <c r="D41" s="15" t="s">
        <v>205</v>
      </c>
      <c r="E41" s="153">
        <v>59232</v>
      </c>
    </row>
    <row r="42" spans="1:5" s="1" customFormat="1" ht="12" customHeight="1">
      <c r="D42" s="15" t="s">
        <v>151</v>
      </c>
      <c r="E42" s="153">
        <v>56916</v>
      </c>
    </row>
    <row r="43" spans="1:5" s="1" customFormat="1" ht="12" customHeight="1">
      <c r="D43" s="15" t="s">
        <v>27</v>
      </c>
      <c r="E43" s="153">
        <v>50371</v>
      </c>
    </row>
    <row r="44" spans="1:5" s="1" customFormat="1" ht="12" customHeight="1"/>
    <row r="45" spans="1:5" s="1" customFormat="1" ht="12" customHeight="1"/>
    <row r="46" spans="1:5" s="1" customFormat="1" ht="12" customHeight="1"/>
    <row r="47" spans="1:5" s="1" customFormat="1" ht="12" customHeight="1"/>
    <row r="48" spans="1:5" s="1" customFormat="1" ht="12" customHeight="1"/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="1" customFormat="1" ht="12" customHeight="1"/>
    <row r="98" s="1" customFormat="1" ht="12" customHeight="1"/>
    <row r="99" s="1" customFormat="1" ht="12" customHeight="1"/>
    <row r="100" s="1" customFormat="1" ht="12" customHeight="1"/>
    <row r="101" s="1" customFormat="1" ht="12" customHeight="1"/>
    <row r="102" s="1" customFormat="1" ht="12" customHeight="1"/>
    <row r="103" s="1" customFormat="1" ht="12" customHeight="1"/>
    <row r="104" s="1" customFormat="1" ht="12" customHeight="1"/>
    <row r="105" s="1" customFormat="1" ht="12" customHeight="1"/>
    <row r="106" s="1" customFormat="1" ht="12" customHeight="1"/>
    <row r="107" s="1" customFormat="1" ht="12" customHeight="1"/>
    <row r="108" s="1" customFormat="1" ht="12" customHeight="1"/>
    <row r="109" s="1" customFormat="1" ht="12" customHeight="1"/>
    <row r="110" s="1" customFormat="1" ht="12" customHeight="1"/>
    <row r="111" s="1" customFormat="1" ht="12" customHeight="1"/>
    <row r="112" s="1" customFormat="1" ht="12" customHeight="1"/>
    <row r="113" s="1" customFormat="1" ht="12" customHeight="1"/>
    <row r="114" s="1" customFormat="1" ht="12" customHeight="1"/>
    <row r="115" s="1" customFormat="1" ht="12" customHeight="1"/>
    <row r="116" s="1" customFormat="1" ht="12" customHeight="1"/>
    <row r="117" s="1" customFormat="1" ht="12" customHeight="1"/>
    <row r="118" s="1" customFormat="1" ht="12" customHeight="1"/>
    <row r="119" s="1" customFormat="1" ht="12" customHeight="1"/>
    <row r="120" s="1" customFormat="1" ht="12" customHeight="1"/>
    <row r="121" s="1" customFormat="1" ht="12" customHeight="1"/>
    <row r="122" s="1" customFormat="1" ht="12" customHeight="1"/>
    <row r="123" s="1" customFormat="1" ht="12" customHeight="1"/>
    <row r="124" s="1" customFormat="1" ht="12" customHeight="1"/>
    <row r="125" s="1" customFormat="1" ht="12" customHeight="1"/>
    <row r="126" s="1" customFormat="1" ht="12" customHeight="1"/>
    <row r="127" s="1" customFormat="1" ht="12" customHeight="1"/>
    <row r="128" s="1" customFormat="1" ht="12" customHeight="1"/>
    <row r="129" spans="2:11" s="1" customFormat="1" ht="12" customHeight="1"/>
    <row r="130" spans="2:11" s="1" customFormat="1" ht="12" customHeight="1"/>
    <row r="131" spans="2:11" s="1" customFormat="1" ht="12" customHeight="1"/>
    <row r="132" spans="2:11" s="1" customFormat="1" ht="12" customHeight="1">
      <c r="D132" s="28"/>
      <c r="E132" s="28"/>
      <c r="J132" s="28"/>
      <c r="K132" s="28"/>
    </row>
    <row r="133" spans="2:11">
      <c r="B133" s="30"/>
      <c r="C133" s="28"/>
    </row>
    <row r="134" spans="2:11">
      <c r="B134" s="30"/>
      <c r="C134" s="28"/>
    </row>
    <row r="135" spans="2:11">
      <c r="B135" s="30"/>
      <c r="C135" s="28"/>
    </row>
    <row r="136" spans="2:11">
      <c r="B136" s="30"/>
      <c r="C136" s="28"/>
    </row>
    <row r="137" spans="2:11">
      <c r="B137" s="30"/>
      <c r="C137" s="28"/>
    </row>
    <row r="138" spans="2:11">
      <c r="B138" s="30"/>
      <c r="C138" s="28"/>
    </row>
    <row r="139" spans="2:11">
      <c r="B139" s="30"/>
      <c r="C139" s="28"/>
    </row>
    <row r="140" spans="2:11">
      <c r="B140" s="30"/>
      <c r="C140" s="28"/>
    </row>
    <row r="141" spans="2:11">
      <c r="B141" s="30"/>
      <c r="C141" s="28"/>
    </row>
    <row r="142" spans="2:11">
      <c r="B142" s="30"/>
      <c r="C142" s="28"/>
    </row>
    <row r="143" spans="2:11">
      <c r="B143" s="30"/>
      <c r="C143" s="28"/>
    </row>
    <row r="144" spans="2:11">
      <c r="B144" s="30"/>
      <c r="C144" s="28"/>
    </row>
    <row r="145" spans="2:3">
      <c r="B145" s="30"/>
      <c r="C145" s="28"/>
    </row>
    <row r="146" spans="2:3">
      <c r="B146" s="30"/>
      <c r="C146" s="28"/>
    </row>
    <row r="147" spans="2:3">
      <c r="B147" s="30"/>
      <c r="C147" s="28"/>
    </row>
    <row r="148" spans="2:3">
      <c r="B148" s="30"/>
      <c r="C148" s="28"/>
    </row>
    <row r="149" spans="2:3">
      <c r="B149" s="30"/>
      <c r="C149" s="28"/>
    </row>
    <row r="150" spans="2:3">
      <c r="B150" s="30"/>
      <c r="C150" s="28"/>
    </row>
    <row r="151" spans="2:3">
      <c r="B151" s="30"/>
      <c r="C151" s="28"/>
    </row>
    <row r="152" spans="2:3">
      <c r="B152" s="30"/>
      <c r="C152" s="28"/>
    </row>
    <row r="153" spans="2:3">
      <c r="B153" s="30"/>
      <c r="C153" s="28"/>
    </row>
    <row r="154" spans="2:3">
      <c r="B154" s="30"/>
      <c r="C154" s="28"/>
    </row>
    <row r="155" spans="2:3">
      <c r="B155" s="30"/>
      <c r="C155" s="28"/>
    </row>
    <row r="156" spans="2:3">
      <c r="B156" s="30"/>
      <c r="C156" s="28"/>
    </row>
    <row r="157" spans="2:3">
      <c r="B157" s="30"/>
      <c r="C157" s="28"/>
    </row>
    <row r="158" spans="2:3">
      <c r="B158" s="30"/>
      <c r="C158" s="28"/>
    </row>
    <row r="159" spans="2:3">
      <c r="B159" s="30"/>
      <c r="C159" s="28"/>
    </row>
    <row r="160" spans="2:3">
      <c r="B160" s="30"/>
      <c r="C160" s="28"/>
    </row>
    <row r="161" spans="2:3">
      <c r="B161" s="30"/>
      <c r="C161" s="28"/>
    </row>
    <row r="162" spans="2:3">
      <c r="B162" s="30"/>
      <c r="C162" s="28"/>
    </row>
    <row r="163" spans="2:3">
      <c r="B163" s="30"/>
      <c r="C163" s="28"/>
    </row>
    <row r="164" spans="2:3">
      <c r="B164" s="30"/>
      <c r="C164" s="28"/>
    </row>
    <row r="165" spans="2:3">
      <c r="B165" s="30"/>
      <c r="C165" s="28"/>
    </row>
    <row r="166" spans="2:3">
      <c r="B166" s="30"/>
      <c r="C166" s="28"/>
    </row>
    <row r="167" spans="2:3">
      <c r="B167" s="30"/>
      <c r="C167" s="28"/>
    </row>
    <row r="168" spans="2:3">
      <c r="B168" s="30"/>
      <c r="C168" s="28"/>
    </row>
    <row r="169" spans="2:3">
      <c r="B169" s="30"/>
      <c r="C169" s="28"/>
    </row>
    <row r="170" spans="2:3">
      <c r="B170" s="30"/>
      <c r="C170" s="28"/>
    </row>
    <row r="171" spans="2:3">
      <c r="B171" s="30"/>
      <c r="C171" s="28"/>
    </row>
    <row r="172" spans="2:3">
      <c r="B172" s="30"/>
      <c r="C172" s="28"/>
    </row>
    <row r="173" spans="2:3">
      <c r="B173" s="30"/>
      <c r="C173" s="28"/>
    </row>
    <row r="174" spans="2:3">
      <c r="B174" s="30"/>
      <c r="C174" s="28"/>
    </row>
    <row r="175" spans="2:3">
      <c r="B175" s="30"/>
      <c r="C175" s="28"/>
    </row>
    <row r="176" spans="2:3">
      <c r="B176" s="30"/>
      <c r="C176" s="28"/>
    </row>
    <row r="177" spans="2:3">
      <c r="B177" s="30"/>
      <c r="C177" s="28"/>
    </row>
    <row r="178" spans="2:3">
      <c r="B178" s="30"/>
      <c r="C178" s="28"/>
    </row>
    <row r="179" spans="2:3">
      <c r="B179" s="30"/>
      <c r="C179" s="28"/>
    </row>
    <row r="180" spans="2:3">
      <c r="B180" s="30"/>
      <c r="C180" s="28"/>
    </row>
    <row r="181" spans="2:3">
      <c r="B181" s="30"/>
      <c r="C181" s="28"/>
    </row>
    <row r="182" spans="2:3">
      <c r="B182" s="30"/>
      <c r="C182" s="28"/>
    </row>
  </sheetData>
  <sheetProtection algorithmName="SHA-512" hashValue="2DFmd3puLJ+Jrh4A236STAAkPXBd9JyQs3HTxb85kqG0oCbwZgkYZFmEP8gJRJ2ELNu9vU1APySwxJipK5Pc4Q==" saltValue="IgkrCMegMc45dQQS+vMj6A==" spinCount="100000" sheet="1"/>
  <mergeCells count="4">
    <mergeCell ref="A3:B3"/>
    <mergeCell ref="D3:E3"/>
    <mergeCell ref="G3:H3"/>
    <mergeCell ref="J3:K3"/>
  </mergeCells>
  <phoneticPr fontId="0" type="noConversion"/>
  <pageMargins left="0.61" right="0.47" top="0.28000000000000003" bottom="0.28000000000000003" header="0.19" footer="0.22"/>
  <pageSetup orientation="landscape" horizontalDpi="0" r:id="rId1"/>
  <headerFooter alignWithMargins="0">
    <oddFooter>&amp;L&amp;8FY02-03/Final Balances Report Updated&amp;R&amp;8September 3, 2003   1:00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"/>
  <sheetViews>
    <sheetView zoomScale="75" workbookViewId="0">
      <selection activeCell="G20" sqref="G20"/>
    </sheetView>
  </sheetViews>
  <sheetFormatPr defaultColWidth="9.109375" defaultRowHeight="13.2"/>
  <cols>
    <col min="1" max="1" width="17.5546875" style="28" customWidth="1"/>
    <col min="2" max="2" width="9.5546875" style="28" customWidth="1"/>
    <col min="3" max="3" width="2.6640625" style="28" customWidth="1"/>
    <col min="4" max="4" width="20.6640625" style="28" customWidth="1"/>
    <col min="5" max="5" width="8.5546875" style="28" customWidth="1"/>
    <col min="6" max="6" width="3" style="28" customWidth="1"/>
    <col min="7" max="7" width="22.44140625" style="28" customWidth="1"/>
    <col min="8" max="8" width="9.109375" style="28"/>
    <col min="9" max="9" width="2.6640625" style="28" customWidth="1"/>
    <col min="10" max="10" width="18.88671875" style="28" customWidth="1"/>
    <col min="11" max="11" width="9.33203125" style="28" customWidth="1"/>
    <col min="12" max="16384" width="9.109375" style="28"/>
  </cols>
  <sheetData>
    <row r="1" spans="1:11" ht="30">
      <c r="A1" s="159" t="s">
        <v>434</v>
      </c>
      <c r="B1" s="159"/>
      <c r="C1" s="159"/>
      <c r="D1" s="159"/>
      <c r="E1" s="159"/>
      <c r="F1" s="159"/>
      <c r="G1" s="159"/>
      <c r="H1" s="159"/>
      <c r="I1" s="159"/>
      <c r="J1" s="159"/>
      <c r="K1" s="157"/>
    </row>
    <row r="2" spans="1:11" s="1" customFormat="1" ht="7.5" customHeight="1">
      <c r="B2" s="28"/>
      <c r="E2" s="28"/>
      <c r="H2" s="28"/>
    </row>
    <row r="3" spans="1:11" ht="20.399999999999999">
      <c r="A3" s="169" t="s">
        <v>394</v>
      </c>
      <c r="B3" s="169"/>
      <c r="C3" s="36"/>
      <c r="D3" s="169" t="s">
        <v>440</v>
      </c>
      <c r="E3" s="169"/>
      <c r="F3" s="36"/>
      <c r="G3" s="169" t="s">
        <v>441</v>
      </c>
      <c r="H3" s="169"/>
      <c r="I3" s="36"/>
      <c r="J3" s="169" t="s">
        <v>442</v>
      </c>
      <c r="K3" s="169"/>
    </row>
    <row r="4" spans="1:11" s="1" customFormat="1" ht="7.5" customHeight="1">
      <c r="B4" s="28"/>
      <c r="E4" s="28"/>
      <c r="H4" s="28"/>
    </row>
    <row r="5" spans="1:11" ht="11.25" customHeight="1">
      <c r="A5" s="158" t="s">
        <v>389</v>
      </c>
      <c r="B5" s="55" t="s">
        <v>439</v>
      </c>
      <c r="D5" s="158" t="s">
        <v>389</v>
      </c>
      <c r="E5" s="55" t="s">
        <v>439</v>
      </c>
      <c r="G5" s="158" t="s">
        <v>389</v>
      </c>
      <c r="H5" s="55" t="s">
        <v>439</v>
      </c>
      <c r="J5" s="158" t="s">
        <v>389</v>
      </c>
      <c r="K5" s="55" t="s">
        <v>439</v>
      </c>
    </row>
    <row r="6" spans="1:11" s="1" customFormat="1" ht="12.75" customHeight="1">
      <c r="A6" s="15" t="s">
        <v>303</v>
      </c>
      <c r="B6" s="2">
        <v>716755</v>
      </c>
      <c r="D6" s="12" t="s">
        <v>338</v>
      </c>
      <c r="E6" s="2">
        <v>-12</v>
      </c>
      <c r="G6" s="12" t="s">
        <v>299</v>
      </c>
      <c r="H6" s="2">
        <v>-85309</v>
      </c>
      <c r="J6" s="15" t="s">
        <v>112</v>
      </c>
      <c r="K6" s="2">
        <v>-214750</v>
      </c>
    </row>
    <row r="7" spans="1:11" s="1" customFormat="1" ht="12.75" customHeight="1">
      <c r="A7" s="15" t="s">
        <v>46</v>
      </c>
      <c r="B7" s="2">
        <v>703174</v>
      </c>
      <c r="D7" s="15" t="s">
        <v>31</v>
      </c>
      <c r="E7" s="2">
        <v>-31</v>
      </c>
      <c r="G7" s="15" t="s">
        <v>106</v>
      </c>
      <c r="H7" s="2">
        <v>-88582</v>
      </c>
      <c r="J7" s="15" t="s">
        <v>189</v>
      </c>
      <c r="K7" s="2">
        <v>-219600</v>
      </c>
    </row>
    <row r="8" spans="1:11" s="1" customFormat="1" ht="12.75" customHeight="1">
      <c r="A8" s="12" t="s">
        <v>115</v>
      </c>
      <c r="B8" s="2">
        <v>590092</v>
      </c>
      <c r="D8" s="15" t="s">
        <v>238</v>
      </c>
      <c r="E8" s="2">
        <v>-36</v>
      </c>
      <c r="G8" s="2" t="s">
        <v>98</v>
      </c>
      <c r="H8" s="2">
        <v>-92036</v>
      </c>
      <c r="J8" s="15" t="s">
        <v>179</v>
      </c>
      <c r="K8" s="2">
        <v>-233147</v>
      </c>
    </row>
    <row r="9" spans="1:11" s="1" customFormat="1" ht="12.75" customHeight="1">
      <c r="A9" s="15" t="s">
        <v>413</v>
      </c>
      <c r="B9" s="2">
        <v>442114</v>
      </c>
      <c r="D9" s="15" t="s">
        <v>176</v>
      </c>
      <c r="E9" s="2">
        <v>-101</v>
      </c>
      <c r="G9" s="15" t="s">
        <v>137</v>
      </c>
      <c r="H9" s="2">
        <v>-92138</v>
      </c>
      <c r="J9" s="15" t="s">
        <v>249</v>
      </c>
      <c r="K9" s="2">
        <v>-235047</v>
      </c>
    </row>
    <row r="10" spans="1:11" s="1" customFormat="1" ht="12.75" customHeight="1">
      <c r="A10" s="15" t="s">
        <v>54</v>
      </c>
      <c r="B10" s="2">
        <v>345121</v>
      </c>
      <c r="D10" s="15" t="s">
        <v>185</v>
      </c>
      <c r="E10" s="2">
        <v>-115</v>
      </c>
      <c r="G10" s="15" t="s">
        <v>231</v>
      </c>
      <c r="H10" s="2">
        <v>-93628</v>
      </c>
      <c r="J10" s="15" t="s">
        <v>237</v>
      </c>
      <c r="K10" s="2">
        <v>-235959</v>
      </c>
    </row>
    <row r="11" spans="1:11" s="1" customFormat="1" ht="12.75" customHeight="1">
      <c r="A11" s="15" t="s">
        <v>313</v>
      </c>
      <c r="B11" s="2">
        <v>231899</v>
      </c>
      <c r="D11" s="15" t="s">
        <v>235</v>
      </c>
      <c r="E11" s="2">
        <v>-1454</v>
      </c>
      <c r="G11" s="15" t="s">
        <v>21</v>
      </c>
      <c r="H11" s="2">
        <v>-96466</v>
      </c>
      <c r="J11" s="15" t="s">
        <v>240</v>
      </c>
      <c r="K11" s="2">
        <v>-238407</v>
      </c>
    </row>
    <row r="12" spans="1:11" s="1" customFormat="1" ht="12.75" customHeight="1">
      <c r="A12" s="15" t="s">
        <v>255</v>
      </c>
      <c r="B12" s="2">
        <v>153647</v>
      </c>
      <c r="D12" s="15" t="s">
        <v>102</v>
      </c>
      <c r="E12" s="2">
        <v>-4621</v>
      </c>
      <c r="G12" s="12" t="s">
        <v>307</v>
      </c>
      <c r="H12" s="2">
        <v>-98898</v>
      </c>
      <c r="J12" s="15" t="s">
        <v>245</v>
      </c>
      <c r="K12" s="2">
        <v>-241589</v>
      </c>
    </row>
    <row r="13" spans="1:11" s="1" customFormat="1" ht="12.75" customHeight="1">
      <c r="A13" s="15" t="s">
        <v>50</v>
      </c>
      <c r="B13" s="2">
        <v>108570</v>
      </c>
      <c r="D13" s="15" t="s">
        <v>51</v>
      </c>
      <c r="E13" s="2">
        <v>-5982</v>
      </c>
      <c r="G13" s="15" t="s">
        <v>133</v>
      </c>
      <c r="H13" s="2">
        <v>-99189</v>
      </c>
      <c r="J13" s="15" t="s">
        <v>242</v>
      </c>
      <c r="K13" s="2">
        <v>-245065</v>
      </c>
    </row>
    <row r="14" spans="1:11" s="1" customFormat="1" ht="12.75" customHeight="1">
      <c r="A14" s="15" t="s">
        <v>305</v>
      </c>
      <c r="B14" s="2">
        <v>69393</v>
      </c>
      <c r="D14" s="15" t="s">
        <v>173</v>
      </c>
      <c r="E14" s="2">
        <v>-8849</v>
      </c>
      <c r="G14" s="15" t="s">
        <v>120</v>
      </c>
      <c r="H14" s="2">
        <v>-101411</v>
      </c>
      <c r="J14" s="15" t="s">
        <v>340</v>
      </c>
      <c r="K14" s="2">
        <v>-246770</v>
      </c>
    </row>
    <row r="15" spans="1:11" s="1" customFormat="1" ht="12.75" customHeight="1">
      <c r="A15" s="15" t="s">
        <v>419</v>
      </c>
      <c r="B15" s="2">
        <v>5984</v>
      </c>
      <c r="D15" s="15" t="s">
        <v>437</v>
      </c>
      <c r="E15" s="2">
        <v>-11649</v>
      </c>
      <c r="G15" s="15" t="s">
        <v>342</v>
      </c>
      <c r="H15" s="2">
        <v>-104144</v>
      </c>
      <c r="J15" s="15" t="s">
        <v>311</v>
      </c>
      <c r="K15" s="2">
        <v>-252329</v>
      </c>
    </row>
    <row r="16" spans="1:11" s="1" customFormat="1" ht="12.75" customHeight="1">
      <c r="A16" s="15" t="s">
        <v>118</v>
      </c>
      <c r="B16" s="2">
        <v>4920</v>
      </c>
      <c r="D16" s="15" t="s">
        <v>113</v>
      </c>
      <c r="E16" s="2">
        <v>-14724</v>
      </c>
      <c r="G16" s="15" t="s">
        <v>143</v>
      </c>
      <c r="H16" s="2">
        <v>-104657</v>
      </c>
      <c r="J16" s="15" t="s">
        <v>322</v>
      </c>
      <c r="K16" s="2">
        <v>-253747</v>
      </c>
    </row>
    <row r="17" spans="1:11" s="1" customFormat="1" ht="12.75" customHeight="1">
      <c r="A17" s="15" t="s">
        <v>42</v>
      </c>
      <c r="B17" s="2">
        <v>1902</v>
      </c>
      <c r="D17" s="15" t="s">
        <v>129</v>
      </c>
      <c r="E17" s="2">
        <v>-18600</v>
      </c>
      <c r="G17" s="15" t="s">
        <v>40</v>
      </c>
      <c r="H17" s="2">
        <v>-106351</v>
      </c>
      <c r="J17" s="12" t="s">
        <v>336</v>
      </c>
      <c r="K17" s="2">
        <v>-261715</v>
      </c>
    </row>
    <row r="18" spans="1:11" s="1" customFormat="1" ht="12.75" customHeight="1">
      <c r="D18" s="15" t="s">
        <v>436</v>
      </c>
      <c r="E18" s="2">
        <v>-18963</v>
      </c>
      <c r="G18" s="15" t="s">
        <v>141</v>
      </c>
      <c r="H18" s="2">
        <v>-115764</v>
      </c>
      <c r="J18" s="15" t="s">
        <v>324</v>
      </c>
      <c r="K18" s="2">
        <v>-264164</v>
      </c>
    </row>
    <row r="19" spans="1:11" s="1" customFormat="1" ht="12.75" customHeight="1">
      <c r="D19" s="15" t="s">
        <v>100</v>
      </c>
      <c r="E19" s="2">
        <v>-19347</v>
      </c>
      <c r="G19" s="15" t="s">
        <v>27</v>
      </c>
      <c r="H19" s="2">
        <v>-121905</v>
      </c>
      <c r="J19" s="15" t="s">
        <v>131</v>
      </c>
      <c r="K19" s="2">
        <v>-277291</v>
      </c>
    </row>
    <row r="20" spans="1:11" s="1" customFormat="1" ht="12.75" customHeight="1">
      <c r="D20" s="74" t="s">
        <v>41</v>
      </c>
      <c r="E20" s="2">
        <v>-23859</v>
      </c>
      <c r="G20" s="15" t="s">
        <v>33</v>
      </c>
      <c r="H20" s="2">
        <v>-123120</v>
      </c>
      <c r="J20" s="15" t="s">
        <v>23</v>
      </c>
      <c r="K20" s="2">
        <v>-278197</v>
      </c>
    </row>
    <row r="21" spans="1:11" s="1" customFormat="1" ht="12.75" customHeight="1">
      <c r="D21" s="15" t="s">
        <v>65</v>
      </c>
      <c r="E21" s="2">
        <v>-32543</v>
      </c>
      <c r="G21" s="15" t="s">
        <v>181</v>
      </c>
      <c r="H21" s="2">
        <v>-123259</v>
      </c>
      <c r="J21" s="15" t="s">
        <v>315</v>
      </c>
      <c r="K21" s="2">
        <v>-313864</v>
      </c>
    </row>
    <row r="22" spans="1:11" s="1" customFormat="1" ht="12.75" customHeight="1">
      <c r="D22" s="15" t="s">
        <v>243</v>
      </c>
      <c r="E22" s="2">
        <v>-34273</v>
      </c>
      <c r="G22" s="15" t="s">
        <v>56</v>
      </c>
      <c r="H22" s="2">
        <v>-126399</v>
      </c>
      <c r="J22" s="15" t="s">
        <v>183</v>
      </c>
      <c r="K22" s="2">
        <v>-314167</v>
      </c>
    </row>
    <row r="23" spans="1:11" s="1" customFormat="1" ht="12.75" customHeight="1">
      <c r="D23" s="15" t="s">
        <v>117</v>
      </c>
      <c r="E23" s="2">
        <v>-36200</v>
      </c>
      <c r="G23" s="12" t="s">
        <v>191</v>
      </c>
      <c r="H23" s="2">
        <v>-127512</v>
      </c>
      <c r="J23" s="15" t="s">
        <v>187</v>
      </c>
      <c r="K23" s="2">
        <v>-337668</v>
      </c>
    </row>
    <row r="24" spans="1:11" s="1" customFormat="1" ht="12.75" customHeight="1">
      <c r="D24" s="15" t="s">
        <v>37</v>
      </c>
      <c r="E24" s="2">
        <v>-37181</v>
      </c>
      <c r="G24" s="15" t="s">
        <v>309</v>
      </c>
      <c r="H24" s="2">
        <v>-135383</v>
      </c>
      <c r="J24" s="160" t="s">
        <v>425</v>
      </c>
      <c r="K24" s="2">
        <v>-354835</v>
      </c>
    </row>
    <row r="25" spans="1:11" s="1" customFormat="1" ht="12.75" customHeight="1">
      <c r="D25" s="15" t="s">
        <v>44</v>
      </c>
      <c r="E25" s="2">
        <v>-39126</v>
      </c>
      <c r="G25" s="15" t="s">
        <v>320</v>
      </c>
      <c r="H25" s="2">
        <v>-135861</v>
      </c>
      <c r="J25" s="15" t="s">
        <v>407</v>
      </c>
      <c r="K25" s="2">
        <v>-370578</v>
      </c>
    </row>
    <row r="26" spans="1:11" s="1" customFormat="1" ht="12.75" customHeight="1">
      <c r="D26" s="15" t="s">
        <v>110</v>
      </c>
      <c r="E26" s="2">
        <v>-39397</v>
      </c>
      <c r="G26" s="15" t="s">
        <v>104</v>
      </c>
      <c r="H26" s="2">
        <v>-136013</v>
      </c>
      <c r="J26" s="15" t="s">
        <v>330</v>
      </c>
      <c r="K26" s="2">
        <v>-390433</v>
      </c>
    </row>
    <row r="27" spans="1:11" s="1" customFormat="1" ht="12.75" customHeight="1">
      <c r="D27" s="15" t="s">
        <v>251</v>
      </c>
      <c r="E27" s="2">
        <v>-44318</v>
      </c>
      <c r="G27" s="15" t="s">
        <v>403</v>
      </c>
      <c r="H27" s="2">
        <v>-145739</v>
      </c>
      <c r="J27" s="15" t="s">
        <v>398</v>
      </c>
      <c r="K27" s="2">
        <v>-399464</v>
      </c>
    </row>
    <row r="28" spans="1:11" s="1" customFormat="1" ht="12.75" customHeight="1">
      <c r="D28" s="15" t="s">
        <v>25</v>
      </c>
      <c r="E28" s="2">
        <v>-44471</v>
      </c>
      <c r="G28" s="15" t="s">
        <v>121</v>
      </c>
      <c r="H28" s="2">
        <v>-147722</v>
      </c>
      <c r="J28" s="15" t="s">
        <v>399</v>
      </c>
      <c r="K28" s="2">
        <v>-425066</v>
      </c>
    </row>
    <row r="29" spans="1:11" s="1" customFormat="1" ht="12.75" customHeight="1">
      <c r="D29" s="15" t="s">
        <v>29</v>
      </c>
      <c r="E29" s="2">
        <v>-44839</v>
      </c>
      <c r="G29" s="15" t="s">
        <v>233</v>
      </c>
      <c r="H29" s="2">
        <v>-148485</v>
      </c>
      <c r="J29" s="12" t="s">
        <v>401</v>
      </c>
      <c r="K29" s="2">
        <v>-440633</v>
      </c>
    </row>
    <row r="30" spans="1:11" s="1" customFormat="1" ht="12.75" customHeight="1">
      <c r="D30" s="15" t="s">
        <v>332</v>
      </c>
      <c r="E30" s="2">
        <v>-46334</v>
      </c>
      <c r="G30" s="15" t="s">
        <v>171</v>
      </c>
      <c r="H30" s="2">
        <v>-149685</v>
      </c>
      <c r="J30" s="15" t="s">
        <v>421</v>
      </c>
      <c r="K30" s="2">
        <v>-445588</v>
      </c>
    </row>
    <row r="31" spans="1:11" s="1" customFormat="1" ht="12.75" customHeight="1">
      <c r="D31" s="15" t="s">
        <v>301</v>
      </c>
      <c r="E31" s="2">
        <v>-47997</v>
      </c>
      <c r="G31" s="15" t="s">
        <v>253</v>
      </c>
      <c r="H31" s="2">
        <v>-149898</v>
      </c>
      <c r="J31" s="15" t="s">
        <v>417</v>
      </c>
      <c r="K31" s="2">
        <v>-448717</v>
      </c>
    </row>
    <row r="32" spans="1:11" s="32" customFormat="1" ht="12.75" customHeight="1">
      <c r="D32" s="15" t="s">
        <v>193</v>
      </c>
      <c r="E32" s="2">
        <v>-55706</v>
      </c>
      <c r="G32" s="15" t="s">
        <v>53</v>
      </c>
      <c r="H32" s="2">
        <v>-156677</v>
      </c>
      <c r="J32" s="15" t="s">
        <v>406</v>
      </c>
      <c r="K32" s="2">
        <v>-462879</v>
      </c>
    </row>
    <row r="33" spans="4:11" s="32" customFormat="1" ht="12.75" customHeight="1">
      <c r="D33" s="15" t="s">
        <v>169</v>
      </c>
      <c r="E33" s="2">
        <v>-57754</v>
      </c>
      <c r="G33" s="15" t="s">
        <v>127</v>
      </c>
      <c r="H33" s="2">
        <v>-160309</v>
      </c>
      <c r="J33" s="12" t="s">
        <v>20</v>
      </c>
      <c r="K33" s="2">
        <v>-474342</v>
      </c>
    </row>
    <row r="34" spans="4:11" s="32" customFormat="1" ht="12.75" customHeight="1">
      <c r="D34" s="15" t="s">
        <v>139</v>
      </c>
      <c r="E34" s="2">
        <v>-61419</v>
      </c>
      <c r="G34" s="15" t="s">
        <v>178</v>
      </c>
      <c r="H34" s="2">
        <v>-169212</v>
      </c>
      <c r="J34" s="15" t="s">
        <v>210</v>
      </c>
      <c r="K34" s="2">
        <v>-506916</v>
      </c>
    </row>
    <row r="35" spans="4:11" s="1" customFormat="1" ht="12.75" customHeight="1">
      <c r="D35" s="15" t="s">
        <v>326</v>
      </c>
      <c r="E35" s="2">
        <v>-62445</v>
      </c>
      <c r="G35" s="12" t="s">
        <v>59</v>
      </c>
      <c r="H35" s="2">
        <v>-173390</v>
      </c>
      <c r="J35" s="15" t="s">
        <v>423</v>
      </c>
      <c r="K35" s="2">
        <v>-509800</v>
      </c>
    </row>
    <row r="36" spans="4:11" s="1" customFormat="1" ht="12.75" customHeight="1">
      <c r="D36" s="15" t="s">
        <v>38</v>
      </c>
      <c r="E36" s="2">
        <v>-62505</v>
      </c>
      <c r="G36" s="15" t="s">
        <v>195</v>
      </c>
      <c r="H36" s="2">
        <v>-177475</v>
      </c>
      <c r="J36" s="15" t="s">
        <v>135</v>
      </c>
      <c r="K36" s="2">
        <v>-548212</v>
      </c>
    </row>
    <row r="37" spans="4:11" s="1" customFormat="1" ht="12.75" customHeight="1">
      <c r="D37" s="15" t="s">
        <v>123</v>
      </c>
      <c r="E37" s="2">
        <v>-68036</v>
      </c>
      <c r="G37" s="15" t="s">
        <v>175</v>
      </c>
      <c r="H37" s="2">
        <v>-179963</v>
      </c>
      <c r="J37" s="15" t="s">
        <v>125</v>
      </c>
      <c r="K37" s="2">
        <v>-558603</v>
      </c>
    </row>
    <row r="38" spans="4:11" s="1" customFormat="1" ht="12.75" customHeight="1">
      <c r="D38" s="15" t="s">
        <v>415</v>
      </c>
      <c r="E38" s="2">
        <v>-74932</v>
      </c>
      <c r="G38" s="15" t="s">
        <v>35</v>
      </c>
      <c r="H38" s="2">
        <v>-183693</v>
      </c>
      <c r="J38" s="15" t="s">
        <v>63</v>
      </c>
      <c r="K38" s="2">
        <v>-601237</v>
      </c>
    </row>
    <row r="39" spans="4:11" s="1" customFormat="1" ht="12.75" customHeight="1">
      <c r="D39" s="15" t="s">
        <v>343</v>
      </c>
      <c r="E39" s="2">
        <v>-80141</v>
      </c>
      <c r="G39" s="15" t="s">
        <v>409</v>
      </c>
      <c r="H39" s="2">
        <v>-187765</v>
      </c>
      <c r="J39" s="15" t="s">
        <v>438</v>
      </c>
      <c r="K39" s="2">
        <v>-979189</v>
      </c>
    </row>
    <row r="40" spans="4:11" s="1" customFormat="1" ht="12.75" customHeight="1">
      <c r="D40" s="15" t="s">
        <v>108</v>
      </c>
      <c r="E40" s="2">
        <v>-83050</v>
      </c>
      <c r="G40" s="32"/>
      <c r="H40" s="32"/>
    </row>
    <row r="41" spans="4:11" s="32" customFormat="1" ht="12.75" customHeight="1">
      <c r="D41" s="15" t="s">
        <v>48</v>
      </c>
      <c r="E41" s="2">
        <v>-84351</v>
      </c>
      <c r="G41" s="1"/>
      <c r="H41" s="1"/>
      <c r="J41" s="1"/>
      <c r="K41" s="1"/>
    </row>
    <row r="42" spans="4:11" s="32" customFormat="1" ht="12.75" customHeight="1">
      <c r="G42" s="1"/>
      <c r="H42" s="1"/>
      <c r="J42" s="1"/>
      <c r="K42" s="1"/>
    </row>
    <row r="43" spans="4:11" s="32" customFormat="1" ht="12.75" customHeight="1">
      <c r="G43" s="1"/>
      <c r="H43" s="1"/>
      <c r="J43" s="1"/>
      <c r="K43" s="1"/>
    </row>
    <row r="44" spans="4:11" s="1" customFormat="1" ht="12.75" customHeight="1"/>
    <row r="45" spans="4:11" s="1" customFormat="1" ht="12.75" customHeight="1"/>
    <row r="46" spans="4:11" s="1" customFormat="1" ht="12.75" customHeight="1"/>
    <row r="47" spans="4:11" s="1" customFormat="1" ht="12.75" customHeight="1"/>
    <row r="48" spans="4:11" s="1" customFormat="1" ht="12.75" customHeight="1"/>
    <row r="49" spans="7:11" s="1" customFormat="1" ht="12.75" customHeight="1"/>
    <row r="50" spans="7:11" s="1" customFormat="1" ht="12.75" customHeight="1"/>
    <row r="51" spans="7:11" s="1" customFormat="1" ht="12.75" customHeight="1"/>
    <row r="52" spans="7:11" s="1" customFormat="1" ht="12.75" customHeight="1">
      <c r="J52" s="32"/>
      <c r="K52" s="32"/>
    </row>
    <row r="53" spans="7:11" s="1" customFormat="1" ht="12.75" customHeight="1">
      <c r="J53" s="32"/>
      <c r="K53" s="32"/>
    </row>
    <row r="54" spans="7:11" s="1" customFormat="1" ht="12.75" customHeight="1">
      <c r="G54" s="32"/>
      <c r="H54" s="32"/>
      <c r="J54" s="32"/>
      <c r="K54" s="32"/>
    </row>
    <row r="55" spans="7:11" s="1" customFormat="1" ht="12.75" customHeight="1">
      <c r="G55" s="32"/>
      <c r="H55" s="32"/>
      <c r="J55" s="32"/>
      <c r="K55" s="32"/>
    </row>
    <row r="56" spans="7:11" s="1" customFormat="1" ht="12.75" customHeight="1">
      <c r="G56" s="32"/>
      <c r="H56" s="32"/>
    </row>
    <row r="57" spans="7:11" s="32" customFormat="1" ht="12.75" customHeight="1">
      <c r="J57" s="1"/>
      <c r="K57" s="1"/>
    </row>
    <row r="58" spans="7:11" s="32" customFormat="1" ht="12.75" customHeight="1">
      <c r="G58" s="1"/>
      <c r="H58" s="1"/>
      <c r="J58" s="1"/>
      <c r="K58" s="1"/>
    </row>
    <row r="59" spans="7:11" s="32" customFormat="1" ht="12.75" customHeight="1">
      <c r="G59" s="1"/>
      <c r="H59" s="1"/>
      <c r="J59" s="1"/>
      <c r="K59" s="1"/>
    </row>
    <row r="60" spans="7:11" s="32" customFormat="1" ht="12.75" customHeight="1">
      <c r="G60" s="1"/>
      <c r="H60" s="1"/>
      <c r="J60" s="1"/>
      <c r="K60" s="1"/>
    </row>
    <row r="61" spans="7:11" s="1" customFormat="1" ht="12.75" customHeight="1"/>
    <row r="62" spans="7:11" s="1" customFormat="1" ht="12.75" customHeight="1"/>
    <row r="63" spans="7:11" s="1" customFormat="1" ht="12.75" customHeight="1"/>
    <row r="64" spans="7:11" s="1" customFormat="1" ht="12.75" customHeight="1"/>
    <row r="65" spans="7:11" s="1" customFormat="1" ht="12.75" customHeight="1"/>
    <row r="66" spans="7:11" s="1" customFormat="1" ht="12.75" customHeight="1"/>
    <row r="67" spans="7:11" s="1" customFormat="1" ht="12.75" customHeight="1"/>
    <row r="68" spans="7:11" s="1" customFormat="1" ht="12.75" customHeight="1"/>
    <row r="69" spans="7:11" s="1" customFormat="1" ht="12.75" customHeight="1"/>
    <row r="70" spans="7:11" s="1" customFormat="1" ht="12.75" customHeight="1"/>
    <row r="71" spans="7:11" s="1" customFormat="1" ht="12.75" customHeight="1"/>
    <row r="72" spans="7:11" s="1" customFormat="1" ht="12.75" customHeight="1"/>
    <row r="73" spans="7:11" s="1" customFormat="1" ht="12.75" customHeight="1"/>
    <row r="74" spans="7:11" s="1" customFormat="1" ht="12.75" customHeight="1"/>
    <row r="75" spans="7:11" s="1" customFormat="1" ht="12.75" customHeight="1"/>
    <row r="76" spans="7:11" s="1" customFormat="1" ht="12.75" customHeight="1"/>
    <row r="77" spans="7:11" s="1" customFormat="1" ht="12.75" customHeight="1">
      <c r="J77" s="32"/>
      <c r="K77" s="32"/>
    </row>
    <row r="78" spans="7:11" s="1" customFormat="1" ht="12.75" customHeight="1">
      <c r="J78" s="28"/>
      <c r="K78" s="28"/>
    </row>
    <row r="79" spans="7:11" s="1" customFormat="1" ht="12.75" customHeight="1">
      <c r="G79" s="32"/>
      <c r="H79" s="32"/>
      <c r="J79" s="28"/>
      <c r="K79" s="28"/>
    </row>
    <row r="80" spans="7:11" s="1" customFormat="1" ht="12.75" customHeight="1">
      <c r="G80" s="28"/>
      <c r="H80" s="28"/>
      <c r="J80" s="28"/>
      <c r="K80" s="28"/>
    </row>
    <row r="81" spans="1:11" s="1" customFormat="1" ht="12.75" customHeight="1">
      <c r="G81" s="28"/>
      <c r="H81" s="28"/>
      <c r="J81" s="28"/>
      <c r="K81" s="28"/>
    </row>
    <row r="82" spans="1:11" s="32" customFormat="1" ht="12.75" customHeight="1">
      <c r="G82" s="28"/>
      <c r="H82" s="28"/>
      <c r="J82" s="28"/>
      <c r="K82" s="28"/>
    </row>
    <row r="83" spans="1:11" ht="12.75" customHeight="1">
      <c r="A83" s="27"/>
      <c r="B83" s="27"/>
    </row>
    <row r="84" spans="1:11" ht="12.75" customHeight="1">
      <c r="A84" s="27"/>
      <c r="B84" s="27"/>
    </row>
    <row r="85" spans="1:11" ht="12.75" customHeight="1">
      <c r="A85" s="27"/>
      <c r="B85" s="27"/>
    </row>
    <row r="86" spans="1:11" ht="12.75" customHeight="1">
      <c r="A86" s="27"/>
      <c r="B86" s="27"/>
    </row>
    <row r="87" spans="1:11" ht="12.75" customHeight="1">
      <c r="A87" s="27"/>
      <c r="B87" s="27"/>
    </row>
    <row r="88" spans="1:11" ht="12.75" customHeight="1">
      <c r="A88" s="27"/>
      <c r="B88" s="27"/>
    </row>
    <row r="89" spans="1:11" ht="12.75" customHeight="1">
      <c r="A89" s="27"/>
      <c r="B89" s="27"/>
    </row>
    <row r="90" spans="1:11" ht="12.75" customHeight="1">
      <c r="A90" s="27"/>
      <c r="B90" s="27"/>
    </row>
    <row r="91" spans="1:11" ht="12.75" customHeight="1">
      <c r="A91" s="27"/>
      <c r="B91" s="27"/>
    </row>
    <row r="92" spans="1:11" ht="12.75" customHeight="1">
      <c r="A92" s="27"/>
      <c r="B92" s="27"/>
    </row>
    <row r="93" spans="1:11" ht="12.75" customHeight="1">
      <c r="A93" s="27"/>
      <c r="B93" s="27"/>
    </row>
    <row r="94" spans="1:11" ht="12.75" customHeight="1">
      <c r="A94" s="27"/>
      <c r="B94" s="27"/>
    </row>
    <row r="95" spans="1:11" ht="12.75" customHeight="1">
      <c r="A95" s="27"/>
      <c r="B95" s="27"/>
    </row>
    <row r="96" spans="1:11" ht="12.75" customHeight="1">
      <c r="A96" s="27"/>
      <c r="B96" s="27"/>
    </row>
    <row r="97" spans="1:2">
      <c r="A97" s="27"/>
      <c r="B97" s="27"/>
    </row>
    <row r="98" spans="1:2">
      <c r="A98" s="27"/>
      <c r="B98" s="27"/>
    </row>
    <row r="99" spans="1:2">
      <c r="A99" s="27"/>
      <c r="B99" s="27"/>
    </row>
    <row r="100" spans="1:2">
      <c r="A100" s="27"/>
      <c r="B100" s="27"/>
    </row>
    <row r="101" spans="1:2">
      <c r="A101" s="27"/>
      <c r="B101" s="27"/>
    </row>
    <row r="102" spans="1:2">
      <c r="A102" s="27"/>
      <c r="B102" s="27"/>
    </row>
    <row r="103" spans="1:2">
      <c r="A103" s="27"/>
      <c r="B103" s="27"/>
    </row>
    <row r="104" spans="1:2">
      <c r="A104" s="27"/>
      <c r="B104" s="27"/>
    </row>
    <row r="105" spans="1:2">
      <c r="A105" s="27"/>
      <c r="B105" s="27"/>
    </row>
    <row r="106" spans="1:2">
      <c r="A106" s="27"/>
      <c r="B106" s="27"/>
    </row>
    <row r="107" spans="1:2">
      <c r="A107" s="27"/>
      <c r="B107" s="27"/>
    </row>
    <row r="108" spans="1:2">
      <c r="A108" s="27"/>
      <c r="B108" s="27"/>
    </row>
    <row r="109" spans="1:2">
      <c r="A109" s="27"/>
      <c r="B109" s="27"/>
    </row>
    <row r="110" spans="1:2">
      <c r="A110" s="27"/>
      <c r="B110" s="27"/>
    </row>
    <row r="111" spans="1:2">
      <c r="A111" s="27"/>
      <c r="B111" s="27"/>
    </row>
    <row r="112" spans="1:2">
      <c r="A112" s="27"/>
      <c r="B112" s="27"/>
    </row>
    <row r="113" spans="1:2">
      <c r="A113" s="27"/>
      <c r="B113" s="27"/>
    </row>
    <row r="114" spans="1:2">
      <c r="A114" s="27"/>
      <c r="B114" s="27"/>
    </row>
    <row r="115" spans="1:2">
      <c r="A115" s="27"/>
      <c r="B115" s="27"/>
    </row>
    <row r="116" spans="1:2">
      <c r="A116" s="27"/>
      <c r="B116" s="27"/>
    </row>
    <row r="117" spans="1:2">
      <c r="A117" s="27"/>
      <c r="B117" s="27"/>
    </row>
    <row r="118" spans="1:2">
      <c r="A118" s="27"/>
      <c r="B118" s="27"/>
    </row>
    <row r="119" spans="1:2">
      <c r="A119" s="27"/>
      <c r="B119" s="27"/>
    </row>
    <row r="120" spans="1:2">
      <c r="A120" s="27"/>
      <c r="B120" s="27"/>
    </row>
    <row r="121" spans="1:2">
      <c r="A121" s="27"/>
      <c r="B121" s="27"/>
    </row>
    <row r="122" spans="1:2">
      <c r="A122" s="27"/>
      <c r="B122" s="27"/>
    </row>
    <row r="123" spans="1:2">
      <c r="A123" s="27"/>
      <c r="B123" s="27"/>
    </row>
    <row r="124" spans="1:2">
      <c r="A124" s="27"/>
      <c r="B124" s="27"/>
    </row>
    <row r="125" spans="1:2">
      <c r="A125" s="27"/>
      <c r="B125" s="27"/>
    </row>
    <row r="126" spans="1:2">
      <c r="A126" s="27"/>
      <c r="B126" s="27"/>
    </row>
    <row r="127" spans="1:2">
      <c r="A127" s="27"/>
      <c r="B127" s="27"/>
    </row>
    <row r="128" spans="1:2">
      <c r="A128" s="27"/>
      <c r="B128" s="27"/>
    </row>
    <row r="129" spans="1:2">
      <c r="A129" s="27"/>
      <c r="B129" s="27"/>
    </row>
    <row r="130" spans="1:2">
      <c r="A130" s="27"/>
      <c r="B130" s="27"/>
    </row>
    <row r="131" spans="1:2">
      <c r="A131" s="27"/>
      <c r="B131" s="27"/>
    </row>
    <row r="132" spans="1:2">
      <c r="A132" s="27"/>
      <c r="B132" s="27"/>
    </row>
    <row r="133" spans="1:2">
      <c r="A133" s="27"/>
      <c r="B133" s="27"/>
    </row>
    <row r="134" spans="1:2">
      <c r="A134" s="27"/>
      <c r="B134" s="27"/>
    </row>
    <row r="135" spans="1:2">
      <c r="A135" s="27"/>
      <c r="B135" s="27"/>
    </row>
    <row r="136" spans="1:2">
      <c r="A136" s="27"/>
      <c r="B136" s="27"/>
    </row>
    <row r="137" spans="1:2">
      <c r="A137" s="27"/>
      <c r="B137" s="27"/>
    </row>
    <row r="138" spans="1:2">
      <c r="A138" s="27"/>
      <c r="B138" s="27"/>
    </row>
    <row r="139" spans="1:2">
      <c r="A139" s="27"/>
      <c r="B139" s="27"/>
    </row>
    <row r="140" spans="1:2">
      <c r="A140" s="27"/>
      <c r="B140" s="27"/>
    </row>
    <row r="141" spans="1:2">
      <c r="A141" s="27"/>
      <c r="B141" s="27"/>
    </row>
    <row r="142" spans="1:2">
      <c r="A142" s="27"/>
      <c r="B142" s="27"/>
    </row>
    <row r="143" spans="1:2">
      <c r="A143" s="27"/>
      <c r="B143" s="27"/>
    </row>
    <row r="144" spans="1:2">
      <c r="A144" s="27"/>
      <c r="B144" s="27"/>
    </row>
    <row r="145" spans="1:2">
      <c r="A145" s="27"/>
      <c r="B145" s="27"/>
    </row>
    <row r="146" spans="1:2">
      <c r="A146" s="27"/>
      <c r="B146" s="27"/>
    </row>
    <row r="147" spans="1:2">
      <c r="A147" s="27"/>
      <c r="B147" s="27"/>
    </row>
    <row r="148" spans="1:2">
      <c r="A148" s="27"/>
      <c r="B148" s="27"/>
    </row>
    <row r="149" spans="1:2">
      <c r="A149" s="27"/>
      <c r="B149" s="27"/>
    </row>
    <row r="150" spans="1:2">
      <c r="A150" s="27"/>
      <c r="B150" s="27"/>
    </row>
    <row r="151" spans="1:2">
      <c r="A151" s="27"/>
      <c r="B151" s="27"/>
    </row>
    <row r="152" spans="1:2">
      <c r="A152" s="27"/>
      <c r="B152" s="27"/>
    </row>
    <row r="153" spans="1:2">
      <c r="A153" s="27"/>
      <c r="B153" s="27"/>
    </row>
    <row r="154" spans="1:2">
      <c r="A154" s="27"/>
      <c r="B154" s="27"/>
    </row>
    <row r="155" spans="1:2">
      <c r="A155" s="27"/>
      <c r="B155" s="27"/>
    </row>
    <row r="156" spans="1:2">
      <c r="A156" s="27"/>
      <c r="B156" s="27"/>
    </row>
    <row r="157" spans="1:2">
      <c r="A157" s="27"/>
      <c r="B157" s="27"/>
    </row>
    <row r="158" spans="1:2">
      <c r="A158" s="27"/>
      <c r="B158" s="27"/>
    </row>
    <row r="159" spans="1:2">
      <c r="A159" s="27"/>
      <c r="B159" s="27"/>
    </row>
    <row r="160" spans="1:2">
      <c r="A160" s="27"/>
      <c r="B160" s="27"/>
    </row>
    <row r="161" spans="1:2">
      <c r="A161" s="27"/>
      <c r="B161" s="27"/>
    </row>
    <row r="162" spans="1:2">
      <c r="A162" s="27"/>
      <c r="B162" s="27"/>
    </row>
    <row r="163" spans="1:2">
      <c r="A163" s="27"/>
      <c r="B163" s="27"/>
    </row>
    <row r="164" spans="1:2">
      <c r="A164" s="27"/>
      <c r="B164" s="27"/>
    </row>
    <row r="165" spans="1:2">
      <c r="A165" s="27"/>
      <c r="B165" s="27"/>
    </row>
    <row r="166" spans="1:2">
      <c r="A166" s="27"/>
      <c r="B166" s="27"/>
    </row>
    <row r="167" spans="1:2">
      <c r="A167" s="27"/>
      <c r="B167" s="27"/>
    </row>
    <row r="168" spans="1:2">
      <c r="A168" s="27"/>
      <c r="B168" s="27"/>
    </row>
    <row r="169" spans="1:2">
      <c r="A169" s="27"/>
      <c r="B169" s="27"/>
    </row>
    <row r="170" spans="1:2">
      <c r="A170" s="27"/>
      <c r="B170" s="27"/>
    </row>
    <row r="171" spans="1:2">
      <c r="A171" s="27"/>
      <c r="B171" s="27"/>
    </row>
    <row r="172" spans="1:2">
      <c r="A172" s="27"/>
      <c r="B172" s="27"/>
    </row>
    <row r="173" spans="1:2">
      <c r="A173" s="27"/>
      <c r="B173" s="27"/>
    </row>
    <row r="174" spans="1:2">
      <c r="A174" s="27"/>
      <c r="B174" s="27"/>
    </row>
    <row r="175" spans="1:2">
      <c r="A175" s="27"/>
      <c r="B175" s="27"/>
    </row>
    <row r="176" spans="1:2">
      <c r="A176" s="27"/>
      <c r="B176" s="27"/>
    </row>
    <row r="177" spans="1:2">
      <c r="A177" s="27"/>
      <c r="B177" s="27"/>
    </row>
    <row r="178" spans="1:2">
      <c r="A178" s="27"/>
      <c r="B178" s="27"/>
    </row>
    <row r="179" spans="1:2">
      <c r="A179" s="27"/>
      <c r="B179" s="27"/>
    </row>
    <row r="180" spans="1:2">
      <c r="A180" s="27"/>
      <c r="B180" s="27"/>
    </row>
    <row r="181" spans="1:2">
      <c r="A181" s="27"/>
      <c r="B181" s="27"/>
    </row>
    <row r="182" spans="1:2">
      <c r="A182" s="27"/>
      <c r="B182" s="27"/>
    </row>
    <row r="183" spans="1:2">
      <c r="A183" s="27"/>
      <c r="B183" s="27"/>
    </row>
    <row r="184" spans="1:2">
      <c r="A184" s="27"/>
      <c r="B184" s="27"/>
    </row>
    <row r="185" spans="1:2">
      <c r="A185" s="27"/>
      <c r="B185" s="27"/>
    </row>
    <row r="186" spans="1:2">
      <c r="A186" s="27"/>
      <c r="B186" s="27"/>
    </row>
    <row r="187" spans="1:2">
      <c r="A187" s="27"/>
      <c r="B187" s="27"/>
    </row>
    <row r="188" spans="1:2">
      <c r="A188" s="27"/>
      <c r="B188" s="27"/>
    </row>
    <row r="189" spans="1:2">
      <c r="A189" s="27"/>
      <c r="B189" s="27"/>
    </row>
    <row r="190" spans="1:2">
      <c r="A190" s="27"/>
      <c r="B190" s="27"/>
    </row>
    <row r="191" spans="1:2">
      <c r="A191" s="27"/>
      <c r="B191" s="27"/>
    </row>
    <row r="192" spans="1:2">
      <c r="A192" s="27"/>
      <c r="B192" s="27"/>
    </row>
    <row r="193" spans="1:2">
      <c r="A193" s="27"/>
      <c r="B193" s="27"/>
    </row>
    <row r="194" spans="1:2">
      <c r="A194" s="27"/>
      <c r="B194" s="27"/>
    </row>
    <row r="195" spans="1:2">
      <c r="A195" s="27"/>
      <c r="B195" s="27"/>
    </row>
    <row r="196" spans="1:2">
      <c r="A196" s="27"/>
      <c r="B196" s="27"/>
    </row>
    <row r="197" spans="1:2">
      <c r="A197" s="27"/>
      <c r="B197" s="27"/>
    </row>
    <row r="198" spans="1:2">
      <c r="A198" s="27"/>
      <c r="B198" s="27"/>
    </row>
    <row r="199" spans="1:2">
      <c r="A199" s="27"/>
      <c r="B199" s="27"/>
    </row>
    <row r="200" spans="1:2">
      <c r="A200" s="27"/>
      <c r="B200" s="27"/>
    </row>
    <row r="201" spans="1:2">
      <c r="A201" s="27"/>
      <c r="B201" s="27"/>
    </row>
    <row r="202" spans="1:2">
      <c r="A202" s="27"/>
      <c r="B202" s="27"/>
    </row>
    <row r="203" spans="1:2">
      <c r="A203" s="27"/>
      <c r="B203" s="27"/>
    </row>
    <row r="204" spans="1:2">
      <c r="A204" s="27"/>
      <c r="B204" s="27"/>
    </row>
    <row r="205" spans="1:2">
      <c r="A205" s="27"/>
      <c r="B205" s="27"/>
    </row>
    <row r="206" spans="1:2">
      <c r="A206" s="27"/>
      <c r="B206" s="27"/>
    </row>
    <row r="207" spans="1:2">
      <c r="A207" s="27"/>
      <c r="B207" s="27"/>
    </row>
    <row r="208" spans="1:2">
      <c r="A208" s="27"/>
      <c r="B208" s="27"/>
    </row>
    <row r="209" spans="1:2">
      <c r="A209" s="27"/>
      <c r="B209" s="27"/>
    </row>
    <row r="210" spans="1:2">
      <c r="A210" s="27"/>
      <c r="B210" s="27"/>
    </row>
    <row r="211" spans="1:2">
      <c r="A211" s="27"/>
      <c r="B211" s="27"/>
    </row>
    <row r="212" spans="1:2">
      <c r="A212" s="27"/>
      <c r="B212" s="27"/>
    </row>
    <row r="213" spans="1:2">
      <c r="A213" s="27"/>
      <c r="B213" s="27"/>
    </row>
    <row r="214" spans="1:2">
      <c r="A214" s="27"/>
      <c r="B214" s="27"/>
    </row>
    <row r="215" spans="1:2">
      <c r="A215" s="27"/>
      <c r="B215" s="27"/>
    </row>
    <row r="216" spans="1:2">
      <c r="A216" s="27"/>
      <c r="B216" s="27"/>
    </row>
    <row r="217" spans="1:2">
      <c r="A217" s="27"/>
      <c r="B217" s="27"/>
    </row>
    <row r="218" spans="1:2">
      <c r="A218" s="27"/>
      <c r="B218" s="27"/>
    </row>
    <row r="219" spans="1:2">
      <c r="A219" s="27"/>
      <c r="B219" s="27"/>
    </row>
    <row r="220" spans="1:2">
      <c r="A220" s="27"/>
      <c r="B220" s="27"/>
    </row>
    <row r="221" spans="1:2">
      <c r="A221" s="27"/>
      <c r="B221" s="27"/>
    </row>
    <row r="222" spans="1:2">
      <c r="A222" s="27"/>
      <c r="B222" s="27"/>
    </row>
    <row r="223" spans="1:2">
      <c r="A223" s="27"/>
      <c r="B223" s="27"/>
    </row>
    <row r="224" spans="1:2">
      <c r="A224" s="27"/>
      <c r="B224" s="27"/>
    </row>
    <row r="225" spans="1:2">
      <c r="A225" s="27"/>
      <c r="B225" s="27"/>
    </row>
    <row r="226" spans="1:2">
      <c r="A226" s="27"/>
      <c r="B226" s="27"/>
    </row>
    <row r="227" spans="1:2">
      <c r="A227" s="27"/>
      <c r="B227" s="27"/>
    </row>
    <row r="228" spans="1:2">
      <c r="A228" s="27"/>
      <c r="B228" s="27"/>
    </row>
    <row r="229" spans="1:2">
      <c r="A229" s="27"/>
      <c r="B229" s="27"/>
    </row>
    <row r="230" spans="1:2">
      <c r="A230" s="27"/>
      <c r="B230" s="27"/>
    </row>
    <row r="231" spans="1:2">
      <c r="A231" s="27"/>
      <c r="B231" s="27"/>
    </row>
    <row r="232" spans="1:2">
      <c r="A232" s="27"/>
      <c r="B232" s="27"/>
    </row>
    <row r="233" spans="1:2">
      <c r="A233" s="27"/>
      <c r="B233" s="27"/>
    </row>
    <row r="234" spans="1:2">
      <c r="A234" s="27"/>
      <c r="B234" s="27"/>
    </row>
    <row r="235" spans="1:2">
      <c r="A235" s="27"/>
      <c r="B235" s="27"/>
    </row>
    <row r="236" spans="1:2">
      <c r="A236" s="27"/>
      <c r="B236" s="27"/>
    </row>
    <row r="237" spans="1:2">
      <c r="A237" s="27"/>
      <c r="B237" s="27"/>
    </row>
    <row r="238" spans="1:2">
      <c r="A238" s="27"/>
      <c r="B238" s="27"/>
    </row>
    <row r="239" spans="1:2">
      <c r="A239" s="27"/>
      <c r="B239" s="27"/>
    </row>
    <row r="240" spans="1:2">
      <c r="A240" s="27"/>
      <c r="B240" s="27"/>
    </row>
    <row r="241" spans="1:2">
      <c r="A241" s="27"/>
      <c r="B241" s="27"/>
    </row>
    <row r="242" spans="1:2">
      <c r="A242" s="27"/>
      <c r="B242" s="27"/>
    </row>
    <row r="243" spans="1:2">
      <c r="A243" s="27"/>
      <c r="B243" s="27"/>
    </row>
    <row r="244" spans="1:2">
      <c r="A244" s="27"/>
      <c r="B244" s="27"/>
    </row>
    <row r="245" spans="1:2">
      <c r="A245" s="27"/>
      <c r="B245" s="27"/>
    </row>
    <row r="246" spans="1:2">
      <c r="A246" s="27"/>
      <c r="B246" s="27"/>
    </row>
    <row r="247" spans="1:2">
      <c r="A247" s="27"/>
      <c r="B247" s="27"/>
    </row>
    <row r="248" spans="1:2">
      <c r="A248" s="27"/>
      <c r="B248" s="27"/>
    </row>
    <row r="249" spans="1:2">
      <c r="A249" s="27"/>
      <c r="B249" s="27"/>
    </row>
    <row r="250" spans="1:2">
      <c r="A250" s="27"/>
      <c r="B250" s="27"/>
    </row>
    <row r="251" spans="1:2">
      <c r="A251" s="27"/>
      <c r="B251" s="27"/>
    </row>
    <row r="252" spans="1:2">
      <c r="A252" s="27"/>
      <c r="B252" s="27"/>
    </row>
    <row r="253" spans="1:2">
      <c r="A253" s="27"/>
      <c r="B253" s="27"/>
    </row>
    <row r="254" spans="1:2">
      <c r="A254" s="27"/>
      <c r="B254" s="27"/>
    </row>
    <row r="255" spans="1:2">
      <c r="A255" s="27"/>
      <c r="B255" s="27"/>
    </row>
    <row r="256" spans="1:2">
      <c r="A256" s="27"/>
      <c r="B256" s="27"/>
    </row>
    <row r="257" spans="1:2">
      <c r="A257" s="27"/>
      <c r="B257" s="27"/>
    </row>
    <row r="258" spans="1:2">
      <c r="A258" s="27"/>
      <c r="B258" s="27"/>
    </row>
    <row r="259" spans="1:2">
      <c r="A259" s="27"/>
      <c r="B259" s="27"/>
    </row>
    <row r="260" spans="1:2">
      <c r="A260" s="27"/>
      <c r="B260" s="27"/>
    </row>
    <row r="261" spans="1:2">
      <c r="A261" s="27"/>
      <c r="B261" s="27"/>
    </row>
    <row r="262" spans="1:2">
      <c r="A262" s="27"/>
      <c r="B262" s="27"/>
    </row>
    <row r="263" spans="1:2">
      <c r="A263" s="27"/>
      <c r="B263" s="27"/>
    </row>
    <row r="264" spans="1:2">
      <c r="A264" s="27"/>
      <c r="B264" s="27"/>
    </row>
    <row r="265" spans="1:2">
      <c r="A265" s="27"/>
      <c r="B265" s="27"/>
    </row>
    <row r="266" spans="1:2">
      <c r="A266" s="27"/>
      <c r="B266" s="27"/>
    </row>
    <row r="267" spans="1:2">
      <c r="A267" s="27"/>
      <c r="B267" s="27"/>
    </row>
    <row r="268" spans="1:2">
      <c r="A268" s="27"/>
      <c r="B268" s="27"/>
    </row>
    <row r="269" spans="1:2">
      <c r="A269" s="27"/>
      <c r="B269" s="27"/>
    </row>
    <row r="270" spans="1:2">
      <c r="A270" s="27"/>
      <c r="B270" s="27"/>
    </row>
    <row r="271" spans="1:2">
      <c r="A271" s="27"/>
      <c r="B271" s="27"/>
    </row>
    <row r="272" spans="1:2">
      <c r="A272" s="27"/>
      <c r="B272" s="27"/>
    </row>
    <row r="273" spans="1:2">
      <c r="A273" s="27"/>
      <c r="B273" s="27"/>
    </row>
    <row r="274" spans="1:2">
      <c r="A274" s="27"/>
      <c r="B274" s="27"/>
    </row>
    <row r="275" spans="1:2">
      <c r="A275" s="27"/>
      <c r="B275" s="27"/>
    </row>
    <row r="276" spans="1:2">
      <c r="A276" s="27"/>
      <c r="B276" s="27"/>
    </row>
    <row r="277" spans="1:2">
      <c r="A277" s="27"/>
      <c r="B277" s="27"/>
    </row>
    <row r="278" spans="1:2">
      <c r="A278" s="27"/>
      <c r="B278" s="27"/>
    </row>
    <row r="279" spans="1:2">
      <c r="A279" s="27"/>
      <c r="B279" s="27"/>
    </row>
    <row r="280" spans="1:2">
      <c r="A280" s="27"/>
      <c r="B280" s="27"/>
    </row>
    <row r="281" spans="1:2">
      <c r="A281" s="27"/>
      <c r="B281" s="27"/>
    </row>
    <row r="282" spans="1:2">
      <c r="A282" s="27"/>
      <c r="B282" s="27"/>
    </row>
    <row r="283" spans="1:2">
      <c r="A283" s="27"/>
      <c r="B283" s="27"/>
    </row>
    <row r="284" spans="1:2">
      <c r="A284" s="27"/>
      <c r="B284" s="27"/>
    </row>
    <row r="285" spans="1:2">
      <c r="A285" s="27"/>
      <c r="B285" s="27"/>
    </row>
    <row r="286" spans="1:2">
      <c r="A286" s="27"/>
      <c r="B286" s="27"/>
    </row>
    <row r="287" spans="1:2">
      <c r="A287" s="27"/>
      <c r="B287" s="27"/>
    </row>
    <row r="288" spans="1:2">
      <c r="A288" s="27"/>
      <c r="B288" s="27"/>
    </row>
    <row r="289" spans="1:2">
      <c r="A289" s="27"/>
      <c r="B289" s="27"/>
    </row>
    <row r="290" spans="1:2">
      <c r="A290" s="27"/>
      <c r="B290" s="27"/>
    </row>
    <row r="291" spans="1:2">
      <c r="A291" s="27"/>
      <c r="B291" s="27"/>
    </row>
    <row r="292" spans="1:2">
      <c r="A292" s="27"/>
      <c r="B292" s="27"/>
    </row>
    <row r="293" spans="1:2">
      <c r="A293" s="27"/>
      <c r="B293" s="27"/>
    </row>
    <row r="294" spans="1:2">
      <c r="A294" s="27"/>
      <c r="B294" s="27"/>
    </row>
    <row r="295" spans="1:2">
      <c r="A295" s="27"/>
      <c r="B295" s="27"/>
    </row>
    <row r="296" spans="1:2">
      <c r="A296" s="27"/>
      <c r="B296" s="27"/>
    </row>
    <row r="297" spans="1:2">
      <c r="A297" s="27"/>
      <c r="B297" s="27"/>
    </row>
  </sheetData>
  <sheetProtection algorithmName="SHA-512" hashValue="XkW9vIxIC/Ugl9XPUcZG6VAfl2pW+KoNmJS1mpyzHPfAhHP3WFVg/fYt7EpEJEroaCp4h53ky+owFgGoVi2C/A==" saltValue="mlTj8MNnnbnM1efZUKwGLw==" spinCount="100000" sheet="1"/>
  <mergeCells count="4">
    <mergeCell ref="A3:B3"/>
    <mergeCell ref="D3:E3"/>
    <mergeCell ref="G3:H3"/>
    <mergeCell ref="J3:K3"/>
  </mergeCells>
  <phoneticPr fontId="0" type="noConversion"/>
  <pageMargins left="0.43" right="0.24" top="0.24" bottom="0.24" header="0.17" footer="0.2"/>
  <pageSetup orientation="landscape" r:id="rId1"/>
  <headerFooter alignWithMargins="0">
    <oddFooter>&amp;L&amp;8FY02-03/Final Balances Report Updated&amp;R&amp;8September 3, 2003   1:00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</vt:lpstr>
      <vt:lpstr>Summary</vt:lpstr>
      <vt:lpstr>Attendance</vt:lpstr>
      <vt:lpstr>Sheet1</vt:lpstr>
      <vt:lpstr>Revenues</vt:lpstr>
      <vt:lpstr>ProfitLoss</vt:lpstr>
      <vt:lpstr>Summary!Print_Area</vt:lpstr>
      <vt:lpstr>Summary!Print_Titles</vt:lpstr>
    </vt:vector>
  </TitlesOfParts>
  <Company>DEP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Recreation and Parks</dc:creator>
  <cp:lastModifiedBy>Kat</cp:lastModifiedBy>
  <cp:lastPrinted>2004-09-09T21:00:28Z</cp:lastPrinted>
  <dcterms:created xsi:type="dcterms:W3CDTF">1999-09-23T19:38:15Z</dcterms:created>
  <dcterms:modified xsi:type="dcterms:W3CDTF">2017-04-13T20:33:51Z</dcterms:modified>
</cp:coreProperties>
</file>